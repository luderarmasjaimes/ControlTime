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rite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USD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22" customWidth="1" min="4" max="4"/>
    <col width="12" customWidth="1" min="5" max="5"/>
    <col width="12" customWidth="1" min="6" max="6"/>
    <col width="12" customWidth="1" min="7" max="7"/>
    <col width="19" customWidth="1" min="8" max="8"/>
    <col width="13" customWidth="1" min="9" max="9"/>
    <col width="20" customWidth="1" min="10" max="10"/>
    <col width="12" customWidth="1" min="11" max="11"/>
    <col width="12" customWidth="1" min="12" max="12"/>
    <col width="23" customWidth="1" min="13" max="13"/>
    <col width="12" customWidth="1" min="14" max="14"/>
    <col width="18" customWidth="1" min="15" max="15"/>
    <col width="23" customWidth="1" min="16" max="16"/>
    <col width="16" customWidth="1" min="17" max="17"/>
    <col width="12" customWidth="1" min="18" max="18"/>
    <col width="16" customWidth="1" min="19" max="19"/>
    <col width="12" customWidth="1" min="20" max="20"/>
    <col width="23" customWidth="1" min="21" max="21"/>
    <col width="19" customWidth="1" min="22" max="22"/>
    <col width="17" customWidth="1" min="23" max="23"/>
    <col width="17" customWidth="1" min="24" max="24"/>
    <col width="15" customWidth="1" min="25" max="25"/>
  </cols>
  <sheetData>
    <row r="1">
      <c r="A1" s="1" t="inlineStr">
        <is>
          <t>Proveedor</t>
        </is>
      </c>
      <c r="B1" s="1" t="inlineStr">
        <is>
          <t>Modalidad</t>
        </is>
      </c>
      <c r="C1" s="1" t="inlineStr">
        <is>
          <t>DataCenterPrimario</t>
        </is>
      </c>
      <c r="D1" s="1" t="inlineStr">
        <is>
          <t>DataCenterSecundario</t>
        </is>
      </c>
      <c r="E1" s="1" t="inlineStr">
        <is>
          <t>vCPU</t>
        </is>
      </c>
      <c r="F1" s="1" t="inlineStr">
        <is>
          <t>RAM_GB</t>
        </is>
      </c>
      <c r="G1" s="1" t="inlineStr">
        <is>
          <t>Storage</t>
        </is>
      </c>
      <c r="H1" s="1" t="inlineStr">
        <is>
          <t>IOPS_Garantizados</t>
        </is>
      </c>
      <c r="I1" s="1" t="inlineStr">
        <is>
          <t>Ancho_Banda</t>
        </is>
      </c>
      <c r="J1" s="1" t="inlineStr">
        <is>
          <t>SLA_Disponibilidad</t>
        </is>
      </c>
      <c r="K1" s="1" t="inlineStr">
        <is>
          <t>RTO</t>
        </is>
      </c>
      <c r="L1" s="1" t="inlineStr">
        <is>
          <t>RPO</t>
        </is>
      </c>
      <c r="M1" s="1" t="inlineStr">
        <is>
          <t>Firewall_Administrado</t>
        </is>
      </c>
      <c r="N1" s="1" t="inlineStr">
        <is>
          <t>Anti_DDoS</t>
        </is>
      </c>
      <c r="O1" s="1" t="inlineStr">
        <is>
          <t>Backups_Externos</t>
        </is>
      </c>
      <c r="P1" s="1" t="inlineStr">
        <is>
          <t>Recuperacion_Granular</t>
        </is>
      </c>
      <c r="Q1" s="1" t="inlineStr">
        <is>
          <t>Monitoreo_24x7</t>
        </is>
      </c>
      <c r="R1" s="1" t="inlineStr">
        <is>
          <t>NOC_24x7</t>
        </is>
      </c>
      <c r="S1" s="1" t="inlineStr">
        <is>
          <t>VPN_SiteToSite</t>
        </is>
      </c>
      <c r="T1" s="1" t="inlineStr">
        <is>
          <t>VLAN</t>
        </is>
      </c>
      <c r="U1" s="1" t="inlineStr">
        <is>
          <t>Provisionamiento_Dias</t>
        </is>
      </c>
      <c r="V1" s="1" t="inlineStr">
        <is>
          <t>Costo_Mensual_USD</t>
        </is>
      </c>
      <c r="W1" s="1" t="inlineStr">
        <is>
          <t>Costo_Setup_USD</t>
        </is>
      </c>
      <c r="X1" s="1" t="inlineStr">
        <is>
          <t>Costo_Anual_USD</t>
        </is>
      </c>
      <c r="Y1" s="1" t="inlineStr">
        <is>
          <t>Observaciones</t>
        </is>
      </c>
    </row>
    <row r="2">
      <c r="A2" t="inlineStr">
        <is>
          <t>Cirion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s="2" t="inlineStr"/>
      <c r="W2" s="2" t="inlineStr"/>
      <c r="X2" s="2" t="inlineStr"/>
      <c r="Y2" t="inlineStr"/>
    </row>
    <row r="3">
      <c r="A3" t="inlineStr">
        <is>
          <t>GTD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s="2" t="inlineStr"/>
      <c r="W3" s="2" t="inlineStr"/>
      <c r="X3" s="2" t="inlineStr"/>
      <c r="Y3" t="inlineStr"/>
    </row>
    <row r="4">
      <c r="A4" t="inlineStr">
        <is>
          <t>Claro Empresas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s="2" t="inlineStr"/>
      <c r="W4" s="2" t="inlineStr"/>
      <c r="X4" s="2" t="inlineStr"/>
      <c r="Y4" t="inlineStr"/>
    </row>
    <row r="5">
      <c r="A5" t="inlineStr">
        <is>
          <t>WIN Empresas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s="2" t="inlineStr"/>
      <c r="W5" s="2" t="inlineStr"/>
      <c r="X5" s="2" t="inlineStr"/>
      <c r="Y5" t="inlineStr"/>
    </row>
    <row r="6">
      <c r="A6" t="inlineStr">
        <is>
          <t>Equinix / Partner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s="2" t="inlineStr"/>
      <c r="W6" s="2" t="inlineStr"/>
      <c r="X6" s="2" t="inlineStr"/>
      <c r="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17" customWidth="1" min="4" max="4"/>
    <col width="17" customWidth="1" min="5" max="5"/>
    <col width="17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Proveedor</t>
        </is>
      </c>
      <c r="B1" s="1" t="inlineStr">
        <is>
          <t>Costo Mensual USD</t>
        </is>
      </c>
      <c r="C1" s="1" t="inlineStr">
        <is>
          <t>Costo Setup USD</t>
        </is>
      </c>
      <c r="D1" s="1" t="inlineStr">
        <is>
          <t>Costo Anual USD</t>
        </is>
      </c>
      <c r="E1" s="1" t="inlineStr">
        <is>
          <t>SLA</t>
        </is>
      </c>
      <c r="F1" s="1" t="inlineStr">
        <is>
          <t>RTO</t>
        </is>
      </c>
      <c r="G1" s="1" t="inlineStr">
        <is>
          <t>Semaforo Costo</t>
        </is>
      </c>
      <c r="H1" s="1" t="inlineStr">
        <is>
          <t>Semaforo SLA</t>
        </is>
      </c>
      <c r="I1" s="1" t="inlineStr">
        <is>
          <t>Semaforo RTO</t>
        </is>
      </c>
      <c r="J1" s="1" t="inlineStr">
        <is>
          <t>Puntaje Costo</t>
        </is>
      </c>
      <c r="K1" s="1" t="inlineStr">
        <is>
          <t>Puntaje SLA</t>
        </is>
      </c>
      <c r="L1" s="1" t="inlineStr">
        <is>
          <t>Puntaje RTO</t>
        </is>
      </c>
      <c r="M1" s="1" t="inlineStr">
        <is>
          <t>Puntaje Total</t>
        </is>
      </c>
      <c r="N1" s="1" t="inlineStr">
        <is>
          <t>Ranking</t>
        </is>
      </c>
    </row>
    <row r="2">
      <c r="A2" t="inlineStr">
        <is>
          <t>Cirion</t>
        </is>
      </c>
      <c r="B2" s="2">
        <f>Comparacion!V2</f>
        <v/>
      </c>
      <c r="C2" s="2">
        <f>Comparacion!W2</f>
        <v/>
      </c>
      <c r="D2" s="2">
        <f>Comparacion!X2</f>
        <v/>
      </c>
      <c r="E2">
        <f>Comparacion!J2</f>
        <v/>
      </c>
      <c r="F2">
        <f>Comparacion!K2</f>
        <v/>
      </c>
      <c r="G2">
        <f>IF(B2="","PENDIENTE",IF(B2&lt;=2500,"VERDE",IF(B2&lt;=4000,"AMARILLO","ROJO")))</f>
        <v/>
      </c>
      <c r="H2">
        <f>IF(E2="","PENDIENTE",IF(E2&gt;=0.9995,"VERDE",IF(E2&gt;=0.999,"AMARILLO","ROJO")))</f>
        <v/>
      </c>
      <c r="I2">
        <f>IF(F2="","PENDIENTE",IF(F2&lt;=5,"VERDE",IF(F2&lt;=15,"AMARILLO","ROJO")))</f>
        <v/>
      </c>
      <c r="J2" s="3">
        <f>IF(G2="VERDE",100,IF(G2="AMARILLO",60,IF(G2="ROJO",20,"")))</f>
        <v/>
      </c>
      <c r="K2" s="3">
        <f>IF(H2="VERDE",100,IF(H2="AMARILLO",60,IF(H2="ROJO",20,"")))</f>
        <v/>
      </c>
      <c r="L2" s="3">
        <f>IF(I2="VERDE",100,IF(I2="AMARILLO",60,IF(I2="ROJO",20,"")))</f>
        <v/>
      </c>
      <c r="M2" s="3">
        <f>IF(COUNT(J2:L2)&lt;3,"",ROUND(J2*0.35+K2*0.40+L2*0.25,2))</f>
        <v/>
      </c>
      <c r="N2">
        <f>IF(M2="","",RANK(M2,$M$2:$M$6,0))</f>
        <v/>
      </c>
    </row>
    <row r="3">
      <c r="A3" t="inlineStr">
        <is>
          <t>GTD</t>
        </is>
      </c>
      <c r="B3" s="2">
        <f>Comparacion!V3</f>
        <v/>
      </c>
      <c r="C3" s="2">
        <f>Comparacion!W3</f>
        <v/>
      </c>
      <c r="D3" s="2">
        <f>Comparacion!X3</f>
        <v/>
      </c>
      <c r="E3">
        <f>Comparacion!J3</f>
        <v/>
      </c>
      <c r="F3">
        <f>Comparacion!K3</f>
        <v/>
      </c>
      <c r="G3">
        <f>IF(B3="","PENDIENTE",IF(B3&lt;=2500,"VERDE",IF(B3&lt;=4000,"AMARILLO","ROJO")))</f>
        <v/>
      </c>
      <c r="H3">
        <f>IF(E3="","PENDIENTE",IF(E3&gt;=0.9995,"VERDE",IF(E3&gt;=0.999,"AMARILLO","ROJO")))</f>
        <v/>
      </c>
      <c r="I3">
        <f>IF(F3="","PENDIENTE",IF(F3&lt;=5,"VERDE",IF(F3&lt;=15,"AMARILLO","ROJO")))</f>
        <v/>
      </c>
      <c r="J3" s="3">
        <f>IF(G3="VERDE",100,IF(G3="AMARILLO",60,IF(G3="ROJO",20,"")))</f>
        <v/>
      </c>
      <c r="K3" s="3">
        <f>IF(H3="VERDE",100,IF(H3="AMARILLO",60,IF(H3="ROJO",20,"")))</f>
        <v/>
      </c>
      <c r="L3" s="3">
        <f>IF(I3="VERDE",100,IF(I3="AMARILLO",60,IF(I3="ROJO",20,"")))</f>
        <v/>
      </c>
      <c r="M3" s="3">
        <f>IF(COUNT(J3:L3)&lt;3,"",ROUND(J3*0.35+K3*0.40+L3*0.25,2))</f>
        <v/>
      </c>
      <c r="N3">
        <f>IF(M3="","",RANK(M3,$M$2:$M$6,0))</f>
        <v/>
      </c>
    </row>
    <row r="4">
      <c r="A4" t="inlineStr">
        <is>
          <t>Claro Empresas</t>
        </is>
      </c>
      <c r="B4" s="2">
        <f>Comparacion!V4</f>
        <v/>
      </c>
      <c r="C4" s="2">
        <f>Comparacion!W4</f>
        <v/>
      </c>
      <c r="D4" s="2">
        <f>Comparacion!X4</f>
        <v/>
      </c>
      <c r="E4">
        <f>Comparacion!J4</f>
        <v/>
      </c>
      <c r="F4">
        <f>Comparacion!K4</f>
        <v/>
      </c>
      <c r="G4">
        <f>IF(B4="","PENDIENTE",IF(B4&lt;=2500,"VERDE",IF(B4&lt;=4000,"AMARILLO","ROJO")))</f>
        <v/>
      </c>
      <c r="H4">
        <f>IF(E4="","PENDIENTE",IF(E4&gt;=0.9995,"VERDE",IF(E4&gt;=0.999,"AMARILLO","ROJO")))</f>
        <v/>
      </c>
      <c r="I4">
        <f>IF(F4="","PENDIENTE",IF(F4&lt;=5,"VERDE",IF(F4&lt;=15,"AMARILLO","ROJO")))</f>
        <v/>
      </c>
      <c r="J4" s="3">
        <f>IF(G4="VERDE",100,IF(G4="AMARILLO",60,IF(G4="ROJO",20,"")))</f>
        <v/>
      </c>
      <c r="K4" s="3">
        <f>IF(H4="VERDE",100,IF(H4="AMARILLO",60,IF(H4="ROJO",20,"")))</f>
        <v/>
      </c>
      <c r="L4" s="3">
        <f>IF(I4="VERDE",100,IF(I4="AMARILLO",60,IF(I4="ROJO",20,"")))</f>
        <v/>
      </c>
      <c r="M4" s="3">
        <f>IF(COUNT(J4:L4)&lt;3,"",ROUND(J4*0.35+K4*0.40+L4*0.25,2))</f>
        <v/>
      </c>
      <c r="N4">
        <f>IF(M4="","",RANK(M4,$M$2:$M$6,0))</f>
        <v/>
      </c>
    </row>
    <row r="5">
      <c r="A5" t="inlineStr">
        <is>
          <t>WIN Empresas</t>
        </is>
      </c>
      <c r="B5" s="2">
        <f>Comparacion!V5</f>
        <v/>
      </c>
      <c r="C5" s="2">
        <f>Comparacion!W5</f>
        <v/>
      </c>
      <c r="D5" s="2">
        <f>Comparacion!X5</f>
        <v/>
      </c>
      <c r="E5">
        <f>Comparacion!J5</f>
        <v/>
      </c>
      <c r="F5">
        <f>Comparacion!K5</f>
        <v/>
      </c>
      <c r="G5">
        <f>IF(B5="","PENDIENTE",IF(B5&lt;=2500,"VERDE",IF(B5&lt;=4000,"AMARILLO","ROJO")))</f>
        <v/>
      </c>
      <c r="H5">
        <f>IF(E5="","PENDIENTE",IF(E5&gt;=0.9995,"VERDE",IF(E5&gt;=0.999,"AMARILLO","ROJO")))</f>
        <v/>
      </c>
      <c r="I5">
        <f>IF(F5="","PENDIENTE",IF(F5&lt;=5,"VERDE",IF(F5&lt;=15,"AMARILLO","ROJO")))</f>
        <v/>
      </c>
      <c r="J5" s="3">
        <f>IF(G5="VERDE",100,IF(G5="AMARILLO",60,IF(G5="ROJO",20,"")))</f>
        <v/>
      </c>
      <c r="K5" s="3">
        <f>IF(H5="VERDE",100,IF(H5="AMARILLO",60,IF(H5="ROJO",20,"")))</f>
        <v/>
      </c>
      <c r="L5" s="3">
        <f>IF(I5="VERDE",100,IF(I5="AMARILLO",60,IF(I5="ROJO",20,"")))</f>
        <v/>
      </c>
      <c r="M5" s="3">
        <f>IF(COUNT(J5:L5)&lt;3,"",ROUND(J5*0.35+K5*0.40+L5*0.25,2))</f>
        <v/>
      </c>
      <c r="N5">
        <f>IF(M5="","",RANK(M5,$M$2:$M$6,0))</f>
        <v/>
      </c>
    </row>
    <row r="6">
      <c r="A6" t="inlineStr">
        <is>
          <t>Equinix / Partner</t>
        </is>
      </c>
      <c r="B6" s="2">
        <f>Comparacion!V6</f>
        <v/>
      </c>
      <c r="C6" s="2">
        <f>Comparacion!W6</f>
        <v/>
      </c>
      <c r="D6" s="2">
        <f>Comparacion!X6</f>
        <v/>
      </c>
      <c r="E6">
        <f>Comparacion!J6</f>
        <v/>
      </c>
      <c r="F6">
        <f>Comparacion!K6</f>
        <v/>
      </c>
      <c r="G6">
        <f>IF(B6="","PENDIENTE",IF(B6&lt;=2500,"VERDE",IF(B6&lt;=4000,"AMARILLO","ROJO")))</f>
        <v/>
      </c>
      <c r="H6">
        <f>IF(E6="","PENDIENTE",IF(E6&gt;=0.9995,"VERDE",IF(E6&gt;=0.999,"AMARILLO","ROJO")))</f>
        <v/>
      </c>
      <c r="I6">
        <f>IF(F6="","PENDIENTE",IF(F6&lt;=5,"VERDE",IF(F6&lt;=15,"AMARILLO","ROJO")))</f>
        <v/>
      </c>
      <c r="J6" s="3">
        <f>IF(G6="VERDE",100,IF(G6="AMARILLO",60,IF(G6="ROJO",20,"")))</f>
        <v/>
      </c>
      <c r="K6" s="3">
        <f>IF(H6="VERDE",100,IF(H6="AMARILLO",60,IF(H6="ROJO",20,"")))</f>
        <v/>
      </c>
      <c r="L6" s="3">
        <f>IF(I6="VERDE",100,IF(I6="AMARILLO",60,IF(I6="ROJO",20,"")))</f>
        <v/>
      </c>
      <c r="M6" s="3">
        <f>IF(COUNT(J6:L6)&lt;3,"",ROUND(J6*0.35+K6*0.40+L6*0.25,2))</f>
        <v/>
      </c>
      <c r="N6">
        <f>IF(M6="","",RANK(M6,$M$2:$M$6,0))</f>
        <v/>
      </c>
    </row>
  </sheetData>
  <conditionalFormatting sqref="G2:G6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conditionalFormatting sqref="H2:H6">
    <cfRule type="cellIs" priority="4" operator="equal" dxfId="0">
      <formula>"VERDE"</formula>
    </cfRule>
    <cfRule type="cellIs" priority="5" operator="equal" dxfId="1">
      <formula>"AMARILLO"</formula>
    </cfRule>
    <cfRule type="cellIs" priority="6" operator="equal" dxfId="2">
      <formula>"ROJO"</formula>
    </cfRule>
  </conditionalFormatting>
  <conditionalFormatting sqref="I2:I6">
    <cfRule type="cellIs" priority="7" operator="equal" dxfId="0">
      <formula>"VERDE"</formula>
    </cfRule>
    <cfRule type="cellIs" priority="8" operator="equal" dxfId="1">
      <formula>"AMARILLO"</formula>
    </cfRule>
    <cfRule type="cellIs" priority="9" operator="equal" dxfId="2">
      <formula>"ROJO"</formula>
    </cfRule>
  </conditionalFormatting>
  <conditionalFormatting sqref="M2:M6">
    <cfRule type="cellIs" priority="10" operator="greaterThanOrEqual" dxfId="0">
      <formula>85</formula>
    </cfRule>
    <cfRule type="cellIs" priority="11" operator="between" dxfId="1">
      <formula>60</formula>
      <formula>84.99</formula>
    </cfRule>
    <cfRule type="cellIs" priority="12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2" customWidth="1" min="4" max="4"/>
  </cols>
  <sheetData>
    <row r="1">
      <c r="A1" s="4" t="inlineStr">
        <is>
          <t>Criterio</t>
        </is>
      </c>
      <c r="B1" s="4" t="inlineStr">
        <is>
          <t>Verde</t>
        </is>
      </c>
      <c r="C1" s="4" t="inlineStr">
        <is>
          <t>Amarillo</t>
        </is>
      </c>
      <c r="D1" s="4" t="inlineStr">
        <is>
          <t>Rojo</t>
        </is>
      </c>
    </row>
    <row r="2">
      <c r="A2" t="inlineStr">
        <is>
          <t>Costo mensual USD</t>
        </is>
      </c>
      <c r="B2" t="inlineStr">
        <is>
          <t>&lt;= 2500</t>
        </is>
      </c>
      <c r="C2" t="inlineStr">
        <is>
          <t>&lt;= 4000</t>
        </is>
      </c>
      <c r="D2" t="inlineStr">
        <is>
          <t>&gt; 4000</t>
        </is>
      </c>
    </row>
    <row r="3">
      <c r="A3" t="inlineStr">
        <is>
          <t>SLA disponibilidad</t>
        </is>
      </c>
      <c r="B3" t="inlineStr">
        <is>
          <t>&gt;= 99.95%</t>
        </is>
      </c>
      <c r="C3" t="inlineStr">
        <is>
          <t>&gt;= 99.90%</t>
        </is>
      </c>
      <c r="D3" t="inlineStr">
        <is>
          <t>&lt; 99.90%</t>
        </is>
      </c>
    </row>
    <row r="4">
      <c r="A4" t="inlineStr">
        <is>
          <t>RTO minutos</t>
        </is>
      </c>
      <c r="B4" t="inlineStr">
        <is>
          <t>&lt;= 5</t>
        </is>
      </c>
      <c r="C4" t="inlineStr">
        <is>
          <t>&lt;= 15</t>
        </is>
      </c>
      <c r="D4" t="inlineStr">
        <is>
          <t>&gt; 15</t>
        </is>
      </c>
    </row>
    <row r="5">
      <c r="A5" t="inlineStr">
        <is>
          <t>Peso costo</t>
        </is>
      </c>
      <c r="B5" t="inlineStr">
        <is>
          <t>35%</t>
        </is>
      </c>
      <c r="C5" t="inlineStr"/>
      <c r="D5" t="inlineStr"/>
    </row>
    <row r="6">
      <c r="A6" t="inlineStr">
        <is>
          <t>Peso SLA</t>
        </is>
      </c>
      <c r="B6" t="inlineStr">
        <is>
          <t>40%</t>
        </is>
      </c>
      <c r="C6" t="inlineStr"/>
      <c r="D6" t="inlineStr"/>
    </row>
    <row r="7">
      <c r="A7" t="inlineStr">
        <is>
          <t>Peso RTO</t>
        </is>
      </c>
      <c r="B7" t="inlineStr">
        <is>
          <t>25%</t>
        </is>
      </c>
      <c r="C7" t="inlineStr"/>
      <c r="D7" t="inlineStr"/>
    </row>
    <row r="8">
      <c r="A8" s="5" t="inlineStr">
        <is>
          <t>Nota</t>
        </is>
      </c>
      <c r="B8" s="5" t="inlineStr">
        <is>
          <t>Ajusta estos umbrales si la cotizacion real usa otro nivel de servicio o alcance.</t>
        </is>
      </c>
      <c r="C8" s="5" t="inlineStr"/>
      <c r="D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2026-05-14T20:07:48Z</dcterms:created>
  <dcterms:modified xmlns:dcterms="http://purl.org/dc/terms/" xmlns:xsi="http://www.w3.org/2001/XMLSchema-instance" xsi:type="dcterms:W3CDTF">2026-05-14T20:07:48Z</dcterms:modified>
</cp:coreProperties>
</file>