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Pesos" sheetId="2" state="visible" r:id="rId2"/>
    <sheet xmlns:r="http://schemas.openxmlformats.org/officeDocument/2006/relationships" name="Resumen Audiencias" sheetId="3" state="visible" r:id="rId3"/>
    <sheet xmlns:r="http://schemas.openxmlformats.org/officeDocument/2006/relationships" name="Escenarios Scoring" sheetId="4" state="visible" r:id="rId4"/>
    <sheet xmlns:r="http://schemas.openxmlformats.org/officeDocument/2006/relationships" name="Semaforo Ejecutivo" sheetId="5" state="visible" r:id="rId5"/>
    <sheet xmlns:r="http://schemas.openxmlformats.org/officeDocument/2006/relationships" name="Presupuesto Anual" sheetId="6" state="visible" r:id="rId6"/>
    <sheet xmlns:r="http://schemas.openxmlformats.org/officeDocument/2006/relationships" name="Short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63BE7B"/>
      </patternFill>
    </fill>
    <fill>
      <patternFill patternType="solid">
        <fgColor rgb="00FFEB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8" customWidth="1" min="3" max="3"/>
    <col width="30" customWidth="1" min="4" max="4"/>
    <col width="12" customWidth="1" min="5" max="5"/>
    <col width="12" customWidth="1" min="6" max="6"/>
    <col width="16" customWidth="1" min="7" max="7"/>
    <col width="21" customWidth="1" min="8" max="8"/>
    <col width="14" customWidth="1" min="9" max="9"/>
    <col width="12" customWidth="1" min="10" max="10"/>
    <col width="22" customWidth="1" min="11" max="11"/>
    <col width="30" customWidth="1" min="12" max="12"/>
    <col width="28" customWidth="1" min="13" max="13"/>
    <col width="30" customWidth="1" min="14" max="14"/>
    <col width="25" customWidth="1" min="15" max="15"/>
    <col width="30" customWidth="1" min="16" max="16"/>
    <col width="25" customWidth="1" min="17" max="17"/>
    <col width="30" customWidth="1" min="18" max="18"/>
    <col width="25" customWidth="1" min="19" max="19"/>
    <col width="30" customWidth="1" min="20" max="20"/>
    <col width="25" customWidth="1" min="21" max="21"/>
    <col width="30" customWidth="1" min="22" max="22"/>
    <col width="25" customWidth="1" min="23" max="23"/>
  </cols>
  <sheetData>
    <row r="1">
      <c r="A1" s="1" t="inlineStr">
        <is>
          <t>Categoria</t>
        </is>
      </c>
      <c r="B1" s="1" t="inlineStr">
        <is>
          <t>Proveedor</t>
        </is>
      </c>
      <c r="C1" s="1" t="inlineStr">
        <is>
          <t>Plataforma_o_Modelo</t>
        </is>
      </c>
      <c r="D1" s="1" t="inlineStr">
        <is>
          <t>Uso_Principal</t>
        </is>
      </c>
      <c r="E1" s="1" t="inlineStr">
        <is>
          <t>Coding</t>
        </is>
      </c>
      <c r="F1" s="1" t="inlineStr">
        <is>
          <t>DocumentAI</t>
        </is>
      </c>
      <c r="G1" s="1" t="inlineStr">
        <is>
          <t>Multimodalidad</t>
        </is>
      </c>
      <c r="H1" s="1" t="inlineStr">
        <is>
          <t>Gobierno_Enterprise</t>
        </is>
      </c>
      <c r="I1" s="1" t="inlineStr">
        <is>
          <t>Portabilidad</t>
        </is>
      </c>
      <c r="J1" s="1" t="inlineStr">
        <is>
          <t>Costos</t>
        </is>
      </c>
      <c r="K1" s="1" t="inlineStr">
        <is>
          <t>Compatibilidad_Stack</t>
        </is>
      </c>
      <c r="L1" s="1" t="inlineStr">
        <is>
          <t>Observacion</t>
        </is>
      </c>
      <c r="M1" s="1" t="inlineStr">
        <is>
          <t>Puntaje Tecnico</t>
        </is>
      </c>
      <c r="N1" s="1" t="inlineStr">
        <is>
          <t>Puntaje Directorio</t>
        </is>
      </c>
      <c r="O1" s="1" t="inlineStr">
        <is>
          <t>Ranking Directorio</t>
        </is>
      </c>
      <c r="P1" s="1" t="inlineStr">
        <is>
          <t>Puntaje TI</t>
        </is>
      </c>
      <c r="Q1" s="1" t="inlineStr">
        <is>
          <t>Ranking TI</t>
        </is>
      </c>
      <c r="R1" s="1" t="inlineStr">
        <is>
          <t>Puntaje Operaciones</t>
        </is>
      </c>
      <c r="S1" s="1" t="inlineStr">
        <is>
          <t>Ranking Operaciones</t>
        </is>
      </c>
      <c r="T1" s="1" t="inlineStr">
        <is>
          <t>Puntaje Conservador</t>
        </is>
      </c>
      <c r="U1" s="1" t="inlineStr">
        <is>
          <t>Ranking Conservador</t>
        </is>
      </c>
      <c r="V1" s="1" t="inlineStr">
        <is>
          <t>Puntaje Agresivo</t>
        </is>
      </c>
      <c r="W1" s="1" t="inlineStr">
        <is>
          <t>Ranking Agresivo</t>
        </is>
      </c>
    </row>
    <row r="2">
      <c r="A2" t="inlineStr">
        <is>
          <t>Copiloto</t>
        </is>
      </c>
      <c r="B2" t="inlineStr">
        <is>
          <t>Github</t>
        </is>
      </c>
      <c r="C2" t="inlineStr">
        <is>
          <t>GitHub Copilot</t>
        </is>
      </c>
      <c r="D2" t="inlineStr">
        <is>
          <t>Base corporativa de productividad</t>
        </is>
      </c>
      <c r="E2" t="inlineStr">
        <is>
          <t>9</t>
        </is>
      </c>
      <c r="F2" t="inlineStr">
        <is>
          <t>6</t>
        </is>
      </c>
      <c r="G2" t="inlineStr">
        <is>
          <t>5</t>
        </is>
      </c>
      <c r="H2" t="inlineStr">
        <is>
          <t>8</t>
        </is>
      </c>
      <c r="I2" t="inlineStr">
        <is>
          <t>6</t>
        </is>
      </c>
      <c r="J2" t="inlineStr">
        <is>
          <t>9</t>
        </is>
      </c>
      <c r="K2" t="inlineStr">
        <is>
          <t>10</t>
        </is>
      </c>
      <c r="L2" t="inlineStr">
        <is>
          <t>Mejor base para adopcion amplia en VS Code y GitHub</t>
        </is>
      </c>
      <c r="M2">
        <f>ROUND(AVERAGE(E2:K2),2)</f>
        <v/>
      </c>
      <c r="N2">
        <f>ROUND(E2*0.10+F2*0.15+G2*0.10+H2*0.25+I2*0.10+J2*0.20+K2*0.10,2)</f>
        <v/>
      </c>
      <c r="O2">
        <f>RANK(M2,$M$2:$M$13,0)</f>
        <v/>
      </c>
      <c r="P2">
        <f>ROUND(E2*0.20+F2*0.15+G2*0.10+H2*0.15+I2*0.15+J2*0.10+K2*0.15,2)</f>
        <v/>
      </c>
      <c r="Q2">
        <f>RANK(O2,$O$2:$O$13,0)</f>
        <v/>
      </c>
      <c r="R2">
        <f>ROUND(E2*0.10+F2*0.20+G2*0.15+H2*0.10+I2*0.05+J2*0.15+K2*0.25,2)</f>
        <v/>
      </c>
      <c r="S2">
        <f>RANK(Q2,$Q$2:$Q$13,0)</f>
        <v/>
      </c>
      <c r="T2">
        <f>ROUND(E2*0.08+F2*0.12+G2*0.08+H2*0.27+I2*0.10+J2*0.25+K2*0.10,2)</f>
        <v/>
      </c>
      <c r="U2">
        <f>RANK(S2,$S$2:$S$13,0)</f>
        <v/>
      </c>
      <c r="V2">
        <f>ROUND(E2*0.20+F2*0.18+G2*0.14+H2*0.10+I2*0.12+J2*0.06+K2*0.20,2)</f>
        <v/>
      </c>
      <c r="W2">
        <f>RANK(U2,$U$2:$U$13,0)</f>
        <v/>
      </c>
    </row>
    <row r="3">
      <c r="A3" t="inlineStr">
        <is>
          <t>Copiloto</t>
        </is>
      </c>
      <c r="B3" t="inlineStr">
        <is>
          <t>Anthropic</t>
        </is>
      </c>
      <c r="C3" t="inlineStr">
        <is>
          <t>Claude Code Team</t>
        </is>
      </c>
      <c r="D3" t="inlineStr">
        <is>
          <t>Capa senior para refactor y agentes de desarrollo</t>
        </is>
      </c>
      <c r="E3" t="inlineStr">
        <is>
          <t>10</t>
        </is>
      </c>
      <c r="F3" t="inlineStr">
        <is>
          <t>8</t>
        </is>
      </c>
      <c r="G3" t="inlineStr">
        <is>
          <t>7</t>
        </is>
      </c>
      <c r="H3" t="inlineStr">
        <is>
          <t>9</t>
        </is>
      </c>
      <c r="I3" t="inlineStr">
        <is>
          <t>7</t>
        </is>
      </c>
      <c r="J3" t="inlineStr">
        <is>
          <t>4</t>
        </is>
      </c>
      <c r="K3" t="inlineStr">
        <is>
          <t>9</t>
        </is>
      </c>
      <c r="L3" t="inlineStr">
        <is>
          <t>Excelente para senior engineers y cambios multiarchivo</t>
        </is>
      </c>
      <c r="M3">
        <f>ROUND(AVERAGE(E3:K3),2)</f>
        <v/>
      </c>
      <c r="N3">
        <f>ROUND(E3*0.10+F3*0.15+G3*0.10+H3*0.25+I3*0.10+J3*0.20+K3*0.10,2)</f>
        <v/>
      </c>
      <c r="O3">
        <f>RANK(M3,$M$2:$M$13,0)</f>
        <v/>
      </c>
      <c r="P3">
        <f>ROUND(E3*0.20+F3*0.15+G3*0.10+H3*0.15+I3*0.15+J3*0.10+K3*0.15,2)</f>
        <v/>
      </c>
      <c r="Q3">
        <f>RANK(O3,$O$2:$O$13,0)</f>
        <v/>
      </c>
      <c r="R3">
        <f>ROUND(E3*0.10+F3*0.20+G3*0.15+H3*0.10+I3*0.05+J3*0.15+K3*0.25,2)</f>
        <v/>
      </c>
      <c r="S3">
        <f>RANK(Q3,$Q$2:$Q$13,0)</f>
        <v/>
      </c>
      <c r="T3">
        <f>ROUND(E3*0.08+F3*0.12+G3*0.08+H3*0.27+I3*0.10+J3*0.25+K3*0.10,2)</f>
        <v/>
      </c>
      <c r="U3">
        <f>RANK(S3,$S$2:$S$13,0)</f>
        <v/>
      </c>
      <c r="V3">
        <f>ROUND(E3*0.20+F3*0.18+G3*0.14+H3*0.10+I3*0.12+J3*0.06+K3*0.20,2)</f>
        <v/>
      </c>
      <c r="W3">
        <f>RANK(U3,$U$2:$U$13,0)</f>
        <v/>
      </c>
    </row>
    <row r="4">
      <c r="A4" t="inlineStr">
        <is>
          <t>Copiloto</t>
        </is>
      </c>
      <c r="B4" t="inlineStr">
        <is>
          <t>Cognition</t>
        </is>
      </c>
      <c r="C4" t="inlineStr">
        <is>
          <t>Windsurf Teams</t>
        </is>
      </c>
      <c r="D4" t="inlineStr">
        <is>
          <t>Agentes de desarrollo y trabajo multmodelo</t>
        </is>
      </c>
      <c r="E4" t="inlineStr">
        <is>
          <t>9</t>
        </is>
      </c>
      <c r="F4" t="inlineStr">
        <is>
          <t>7</t>
        </is>
      </c>
      <c r="G4" t="inlineStr">
        <is>
          <t>7</t>
        </is>
      </c>
      <c r="H4" t="inlineStr">
        <is>
          <t>8</t>
        </is>
      </c>
      <c r="I4" t="inlineStr">
        <is>
          <t>7</t>
        </is>
      </c>
      <c r="J4" t="inlineStr">
        <is>
          <t>7</t>
        </is>
      </c>
      <c r="K4" t="inlineStr">
        <is>
          <t>9</t>
        </is>
      </c>
      <c r="L4" t="inlineStr">
        <is>
          <t>Fuerte alternativa moderna para equipos avanzados</t>
        </is>
      </c>
      <c r="M4">
        <f>ROUND(AVERAGE(E4:K4),2)</f>
        <v/>
      </c>
      <c r="N4">
        <f>ROUND(E4*0.10+F4*0.15+G4*0.10+H4*0.25+I4*0.10+J4*0.20+K4*0.10,2)</f>
        <v/>
      </c>
      <c r="O4">
        <f>RANK(M4,$M$2:$M$13,0)</f>
        <v/>
      </c>
      <c r="P4">
        <f>ROUND(E4*0.20+F4*0.15+G4*0.10+H4*0.15+I4*0.15+J4*0.10+K4*0.15,2)</f>
        <v/>
      </c>
      <c r="Q4">
        <f>RANK(O4,$O$2:$O$13,0)</f>
        <v/>
      </c>
      <c r="R4">
        <f>ROUND(E4*0.10+F4*0.20+G4*0.15+H4*0.10+I4*0.05+J4*0.15+K4*0.25,2)</f>
        <v/>
      </c>
      <c r="S4">
        <f>RANK(Q4,$Q$2:$Q$13,0)</f>
        <v/>
      </c>
      <c r="T4">
        <f>ROUND(E4*0.08+F4*0.12+G4*0.08+H4*0.27+I4*0.10+J4*0.25+K4*0.10,2)</f>
        <v/>
      </c>
      <c r="U4">
        <f>RANK(S4,$S$2:$S$13,0)</f>
        <v/>
      </c>
      <c r="V4">
        <f>ROUND(E4*0.20+F4*0.18+G4*0.14+H4*0.10+I4*0.12+J4*0.06+K4*0.20,2)</f>
        <v/>
      </c>
      <c r="W4">
        <f>RANK(U4,$U$2:$U$13,0)</f>
        <v/>
      </c>
    </row>
    <row r="5">
      <c r="A5" t="inlineStr">
        <is>
          <t>API</t>
        </is>
      </c>
      <c r="B5" t="inlineStr">
        <is>
          <t>OpenAI</t>
        </is>
      </c>
      <c r="C5" t="inlineStr">
        <is>
          <t>GPT-5.4</t>
        </is>
      </c>
      <c r="D5" t="inlineStr">
        <is>
          <t>Agentes empresariales y razonamiento premium</t>
        </is>
      </c>
      <c r="E5" t="inlineStr">
        <is>
          <t>9</t>
        </is>
      </c>
      <c r="F5" t="inlineStr">
        <is>
          <t>9</t>
        </is>
      </c>
      <c r="G5" t="inlineStr">
        <is>
          <t>9</t>
        </is>
      </c>
      <c r="H5" t="inlineStr">
        <is>
          <t>8</t>
        </is>
      </c>
      <c r="I5" t="inlineStr">
        <is>
          <t>5</t>
        </is>
      </c>
      <c r="J5" t="inlineStr">
        <is>
          <t>6</t>
        </is>
      </c>
      <c r="K5" t="inlineStr">
        <is>
          <t>9</t>
        </is>
      </c>
      <c r="L5" t="inlineStr">
        <is>
          <t>Muy fuerte para servicios premium y agentes complejos</t>
        </is>
      </c>
      <c r="M5">
        <f>ROUND(AVERAGE(E5:K5),2)</f>
        <v/>
      </c>
      <c r="N5">
        <f>ROUND(E5*0.10+F5*0.15+G5*0.10+H5*0.25+I5*0.10+J5*0.20+K5*0.10,2)</f>
        <v/>
      </c>
      <c r="O5">
        <f>RANK(M5,$M$2:$M$13,0)</f>
        <v/>
      </c>
      <c r="P5">
        <f>ROUND(E5*0.20+F5*0.15+G5*0.10+H5*0.15+I5*0.15+J5*0.10+K5*0.15,2)</f>
        <v/>
      </c>
      <c r="Q5">
        <f>RANK(O5,$O$2:$O$13,0)</f>
        <v/>
      </c>
      <c r="R5">
        <f>ROUND(E5*0.10+F5*0.20+G5*0.15+H5*0.10+I5*0.05+J5*0.15+K5*0.25,2)</f>
        <v/>
      </c>
      <c r="S5">
        <f>RANK(Q5,$Q$2:$Q$13,0)</f>
        <v/>
      </c>
      <c r="T5">
        <f>ROUND(E5*0.08+F5*0.12+G5*0.08+H5*0.27+I5*0.10+J5*0.25+K5*0.10,2)</f>
        <v/>
      </c>
      <c r="U5">
        <f>RANK(S5,$S$2:$S$13,0)</f>
        <v/>
      </c>
      <c r="V5">
        <f>ROUND(E5*0.20+F5*0.18+G5*0.14+H5*0.10+I5*0.12+J5*0.06+K5*0.20,2)</f>
        <v/>
      </c>
      <c r="W5">
        <f>RANK(U5,$U$2:$U$13,0)</f>
        <v/>
      </c>
    </row>
    <row r="6">
      <c r="A6" t="inlineStr">
        <is>
          <t>API</t>
        </is>
      </c>
      <c r="B6" t="inlineStr">
        <is>
          <t>Microsoft</t>
        </is>
      </c>
      <c r="C6" t="inlineStr">
        <is>
          <t>Azure OpenAI</t>
        </is>
      </c>
      <c r="D6" t="inlineStr">
        <is>
          <t>Enterprise AI con residencia y gobierno</t>
        </is>
      </c>
      <c r="E6" t="inlineStr">
        <is>
          <t>9</t>
        </is>
      </c>
      <c r="F6" t="inlineStr">
        <is>
          <t>9</t>
        </is>
      </c>
      <c r="G6" t="inlineStr">
        <is>
          <t>9</t>
        </is>
      </c>
      <c r="H6" t="inlineStr">
        <is>
          <t>10</t>
        </is>
      </c>
      <c r="I6" t="inlineStr">
        <is>
          <t>6</t>
        </is>
      </c>
      <c r="J6" t="inlineStr">
        <is>
          <t>6</t>
        </is>
      </c>
      <c r="K6" t="inlineStr">
        <is>
          <t>9</t>
        </is>
      </c>
      <c r="L6" t="inlineStr">
        <is>
          <t>Gran ajuste si se prioriza compliance y ecosistema Microsoft</t>
        </is>
      </c>
      <c r="M6">
        <f>ROUND(AVERAGE(E6:K6),2)</f>
        <v/>
      </c>
      <c r="N6">
        <f>ROUND(E6*0.10+F6*0.15+G6*0.10+H6*0.25+I6*0.10+J6*0.20+K6*0.10,2)</f>
        <v/>
      </c>
      <c r="O6">
        <f>RANK(M6,$M$2:$M$13,0)</f>
        <v/>
      </c>
      <c r="P6">
        <f>ROUND(E6*0.20+F6*0.15+G6*0.10+H6*0.15+I6*0.15+J6*0.10+K6*0.15,2)</f>
        <v/>
      </c>
      <c r="Q6">
        <f>RANK(O6,$O$2:$O$13,0)</f>
        <v/>
      </c>
      <c r="R6">
        <f>ROUND(E6*0.10+F6*0.20+G6*0.15+H6*0.10+I6*0.05+J6*0.15+K6*0.25,2)</f>
        <v/>
      </c>
      <c r="S6">
        <f>RANK(Q6,$Q$2:$Q$13,0)</f>
        <v/>
      </c>
      <c r="T6">
        <f>ROUND(E6*0.08+F6*0.12+G6*0.08+H6*0.27+I6*0.10+J6*0.25+K6*0.10,2)</f>
        <v/>
      </c>
      <c r="U6">
        <f>RANK(S6,$S$2:$S$13,0)</f>
        <v/>
      </c>
      <c r="V6">
        <f>ROUND(E6*0.20+F6*0.18+G6*0.14+H6*0.10+I6*0.12+J6*0.06+K6*0.20,2)</f>
        <v/>
      </c>
      <c r="W6">
        <f>RANK(U6,$U$2:$U$13,0)</f>
        <v/>
      </c>
    </row>
    <row r="7">
      <c r="A7" t="inlineStr">
        <is>
          <t>API</t>
        </is>
      </c>
      <c r="B7" t="inlineStr">
        <is>
          <t>Anthropic</t>
        </is>
      </c>
      <c r="C7" t="inlineStr">
        <is>
          <t>Claude Sonnet 4.6</t>
        </is>
      </c>
      <c r="D7" t="inlineStr">
        <is>
          <t>Documentos complejos y repositorios</t>
        </is>
      </c>
      <c r="E7" t="inlineStr">
        <is>
          <t>10</t>
        </is>
      </c>
      <c r="F7" t="inlineStr">
        <is>
          <t>10</t>
        </is>
      </c>
      <c r="G7" t="inlineStr">
        <is>
          <t>7</t>
        </is>
      </c>
      <c r="H7" t="inlineStr">
        <is>
          <t>8</t>
        </is>
      </c>
      <c r="I7" t="inlineStr">
        <is>
          <t>6</t>
        </is>
      </c>
      <c r="J7" t="inlineStr">
        <is>
          <t>6</t>
        </is>
      </c>
      <c r="K7" t="inlineStr">
        <is>
          <t>9</t>
        </is>
      </c>
      <c r="L7" t="inlineStr">
        <is>
          <t>Mejor perfil para codigo y redaccion tecnica de alta calidad</t>
        </is>
      </c>
      <c r="M7">
        <f>ROUND(AVERAGE(E7:K7),2)</f>
        <v/>
      </c>
      <c r="N7">
        <f>ROUND(E7*0.10+F7*0.15+G7*0.10+H7*0.25+I7*0.10+J7*0.20+K7*0.10,2)</f>
        <v/>
      </c>
      <c r="O7">
        <f>RANK(M7,$M$2:$M$13,0)</f>
        <v/>
      </c>
      <c r="P7">
        <f>ROUND(E7*0.20+F7*0.15+G7*0.10+H7*0.15+I7*0.15+J7*0.10+K7*0.15,2)</f>
        <v/>
      </c>
      <c r="Q7">
        <f>RANK(O7,$O$2:$O$13,0)</f>
        <v/>
      </c>
      <c r="R7">
        <f>ROUND(E7*0.10+F7*0.20+G7*0.15+H7*0.10+I7*0.05+J7*0.15+K7*0.25,2)</f>
        <v/>
      </c>
      <c r="S7">
        <f>RANK(Q7,$Q$2:$Q$13,0)</f>
        <v/>
      </c>
      <c r="T7">
        <f>ROUND(E7*0.08+F7*0.12+G7*0.08+H7*0.27+I7*0.10+J7*0.25+K7*0.10,2)</f>
        <v/>
      </c>
      <c r="U7">
        <f>RANK(S7,$S$2:$S$13,0)</f>
        <v/>
      </c>
      <c r="V7">
        <f>ROUND(E7*0.20+F7*0.18+G7*0.14+H7*0.10+I7*0.12+J7*0.06+K7*0.20,2)</f>
        <v/>
      </c>
      <c r="W7">
        <f>RANK(U7,$U$2:$U$13,0)</f>
        <v/>
      </c>
    </row>
    <row r="8">
      <c r="A8" t="inlineStr">
        <is>
          <t>API</t>
        </is>
      </c>
      <c r="B8" t="inlineStr">
        <is>
          <t>Google</t>
        </is>
      </c>
      <c r="C8" t="inlineStr">
        <is>
          <t>Gemini 2.5 Flash</t>
        </is>
      </c>
      <c r="D8" t="inlineStr">
        <is>
          <t>Alto volumen multimodal y bajo costo</t>
        </is>
      </c>
      <c r="E8" t="inlineStr">
        <is>
          <t>8</t>
        </is>
      </c>
      <c r="F8" t="inlineStr">
        <is>
          <t>9</t>
        </is>
      </c>
      <c r="G8" t="inlineStr">
        <is>
          <t>10</t>
        </is>
      </c>
      <c r="H8" t="inlineStr">
        <is>
          <t>8</t>
        </is>
      </c>
      <c r="I8" t="inlineStr">
        <is>
          <t>6</t>
        </is>
      </c>
      <c r="J8" t="inlineStr">
        <is>
          <t>10</t>
        </is>
      </c>
      <c r="K8" t="inlineStr">
        <is>
          <t>8</t>
        </is>
      </c>
      <c r="L8" t="inlineStr">
        <is>
          <t>Excelente costo-rendimiento y contexto largo</t>
        </is>
      </c>
      <c r="M8">
        <f>ROUND(AVERAGE(E8:K8),2)</f>
        <v/>
      </c>
      <c r="N8">
        <f>ROUND(E8*0.10+F8*0.15+G8*0.10+H8*0.25+I8*0.10+J8*0.20+K8*0.10,2)</f>
        <v/>
      </c>
      <c r="O8">
        <f>RANK(M8,$M$2:$M$13,0)</f>
        <v/>
      </c>
      <c r="P8">
        <f>ROUND(E8*0.20+F8*0.15+G8*0.10+H8*0.15+I8*0.15+J8*0.10+K8*0.15,2)</f>
        <v/>
      </c>
      <c r="Q8">
        <f>RANK(O8,$O$2:$O$13,0)</f>
        <v/>
      </c>
      <c r="R8">
        <f>ROUND(E8*0.10+F8*0.20+G8*0.15+H8*0.10+I8*0.05+J8*0.15+K8*0.25,2)</f>
        <v/>
      </c>
      <c r="S8">
        <f>RANK(Q8,$Q$2:$Q$13,0)</f>
        <v/>
      </c>
      <c r="T8">
        <f>ROUND(E8*0.08+F8*0.12+G8*0.08+H8*0.27+I8*0.10+J8*0.25+K8*0.10,2)</f>
        <v/>
      </c>
      <c r="U8">
        <f>RANK(S8,$S$2:$S$13,0)</f>
        <v/>
      </c>
      <c r="V8">
        <f>ROUND(E8*0.20+F8*0.18+G8*0.14+H8*0.10+I8*0.12+J8*0.06+K8*0.20,2)</f>
        <v/>
      </c>
      <c r="W8">
        <f>RANK(U8,$U$2:$U$13,0)</f>
        <v/>
      </c>
    </row>
    <row r="9">
      <c r="A9" t="inlineStr">
        <is>
          <t>API</t>
        </is>
      </c>
      <c r="B9" t="inlineStr">
        <is>
          <t>Google</t>
        </is>
      </c>
      <c r="C9" t="inlineStr">
        <is>
          <t>Gemini 2.5 Pro</t>
        </is>
      </c>
      <c r="D9" t="inlineStr">
        <is>
          <t>Analisis largo y razonamiento multimodal</t>
        </is>
      </c>
      <c r="E9" t="inlineStr">
        <is>
          <t>8</t>
        </is>
      </c>
      <c r="F9" t="inlineStr">
        <is>
          <t>10</t>
        </is>
      </c>
      <c r="G9" t="inlineStr">
        <is>
          <t>10</t>
        </is>
      </c>
      <c r="H9" t="inlineStr">
        <is>
          <t>8</t>
        </is>
      </c>
      <c r="I9" t="inlineStr">
        <is>
          <t>6</t>
        </is>
      </c>
      <c r="J9" t="inlineStr">
        <is>
          <t>8</t>
        </is>
      </c>
      <c r="K9" t="inlineStr">
        <is>
          <t>8</t>
        </is>
      </c>
      <c r="L9" t="inlineStr">
        <is>
          <t>Muy fuerte para analisis documental profundo</t>
        </is>
      </c>
      <c r="M9">
        <f>ROUND(AVERAGE(E9:K9),2)</f>
        <v/>
      </c>
      <c r="N9">
        <f>ROUND(E9*0.10+F9*0.15+G9*0.10+H9*0.25+I9*0.10+J9*0.20+K9*0.10,2)</f>
        <v/>
      </c>
      <c r="O9">
        <f>RANK(M9,$M$2:$M$13,0)</f>
        <v/>
      </c>
      <c r="P9">
        <f>ROUND(E9*0.20+F9*0.15+G9*0.10+H9*0.15+I9*0.15+J9*0.10+K9*0.15,2)</f>
        <v/>
      </c>
      <c r="Q9">
        <f>RANK(O9,$O$2:$O$13,0)</f>
        <v/>
      </c>
      <c r="R9">
        <f>ROUND(E9*0.10+F9*0.20+G9*0.15+H9*0.10+I9*0.05+J9*0.15+K9*0.25,2)</f>
        <v/>
      </c>
      <c r="S9">
        <f>RANK(Q9,$Q$2:$Q$13,0)</f>
        <v/>
      </c>
      <c r="T9">
        <f>ROUND(E9*0.08+F9*0.12+G9*0.08+H9*0.27+I9*0.10+J9*0.25+K9*0.10,2)</f>
        <v/>
      </c>
      <c r="U9">
        <f>RANK(S9,$S$2:$S$13,0)</f>
        <v/>
      </c>
      <c r="V9">
        <f>ROUND(E9*0.20+F9*0.18+G9*0.14+H9*0.10+I9*0.12+J9*0.06+K9*0.20,2)</f>
        <v/>
      </c>
      <c r="W9">
        <f>RANK(U9,$U$2:$U$13,0)</f>
        <v/>
      </c>
    </row>
    <row r="10">
      <c r="A10" t="inlineStr">
        <is>
          <t>API</t>
        </is>
      </c>
      <c r="B10" t="inlineStr">
        <is>
          <t>Mistral</t>
        </is>
      </c>
      <c r="C10" t="inlineStr">
        <is>
          <t>Mistral Medium 3.1</t>
        </is>
      </c>
      <c r="D10" t="inlineStr">
        <is>
          <t>Portabilidad y despliegue hybrid</t>
        </is>
      </c>
      <c r="E10" t="inlineStr">
        <is>
          <t>8</t>
        </is>
      </c>
      <c r="F10" t="inlineStr">
        <is>
          <t>8</t>
        </is>
      </c>
      <c r="G10" t="inlineStr">
        <is>
          <t>8</t>
        </is>
      </c>
      <c r="H10" t="inlineStr">
        <is>
          <t>8</t>
        </is>
      </c>
      <c r="I10" t="inlineStr">
        <is>
          <t>10</t>
        </is>
      </c>
      <c r="J10" t="inlineStr">
        <is>
          <t>9</t>
        </is>
      </c>
      <c r="K10" t="inlineStr">
        <is>
          <t>8</t>
        </is>
      </c>
      <c r="L10" t="inlineStr">
        <is>
          <t>Muy buen equilibrio entre TCO y control</t>
        </is>
      </c>
      <c r="M10">
        <f>ROUND(AVERAGE(E10:K10),2)</f>
        <v/>
      </c>
      <c r="N10">
        <f>ROUND(E10*0.10+F10*0.15+G10*0.10+H10*0.25+I10*0.10+J10*0.20+K10*0.10,2)</f>
        <v/>
      </c>
      <c r="O10">
        <f>RANK(M10,$M$2:$M$13,0)</f>
        <v/>
      </c>
      <c r="P10">
        <f>ROUND(E10*0.20+F10*0.15+G10*0.10+H10*0.15+I10*0.15+J10*0.10+K10*0.15,2)</f>
        <v/>
      </c>
      <c r="Q10">
        <f>RANK(O10,$O$2:$O$13,0)</f>
        <v/>
      </c>
      <c r="R10">
        <f>ROUND(E10*0.10+F10*0.20+G10*0.15+H10*0.10+I10*0.05+J10*0.15+K10*0.25,2)</f>
        <v/>
      </c>
      <c r="S10">
        <f>RANK(Q10,$Q$2:$Q$13,0)</f>
        <v/>
      </c>
      <c r="T10">
        <f>ROUND(E10*0.08+F10*0.12+G10*0.08+H10*0.27+I10*0.10+J10*0.25+K10*0.10,2)</f>
        <v/>
      </c>
      <c r="U10">
        <f>RANK(S10,$S$2:$S$13,0)</f>
        <v/>
      </c>
      <c r="V10">
        <f>ROUND(E10*0.20+F10*0.18+G10*0.14+H10*0.10+I10*0.12+J10*0.06+K10*0.20,2)</f>
        <v/>
      </c>
      <c r="W10">
        <f>RANK(U10,$U$2:$U$13,0)</f>
        <v/>
      </c>
    </row>
    <row r="11">
      <c r="A11" t="inlineStr">
        <is>
          <t>API</t>
        </is>
      </c>
      <c r="B11" t="inlineStr">
        <is>
          <t>Mistral</t>
        </is>
      </c>
      <c r="C11" t="inlineStr">
        <is>
          <t>Codestral</t>
        </is>
      </c>
      <c r="D11" t="inlineStr">
        <is>
          <t>Coding dedicado y agentes tecnicos</t>
        </is>
      </c>
      <c r="E11" t="inlineStr">
        <is>
          <t>9</t>
        </is>
      </c>
      <c r="F11" t="inlineStr">
        <is>
          <t>5</t>
        </is>
      </c>
      <c r="G11" t="inlineStr">
        <is>
          <t>3</t>
        </is>
      </c>
      <c r="H11" t="inlineStr">
        <is>
          <t>7</t>
        </is>
      </c>
      <c r="I11" t="inlineStr">
        <is>
          <t>10</t>
        </is>
      </c>
      <c r="J11" t="inlineStr">
        <is>
          <t>10</t>
        </is>
      </c>
      <c r="K11" t="inlineStr">
        <is>
          <t>8</t>
        </is>
      </c>
      <c r="L11" t="inlineStr">
        <is>
          <t>Muy competitivo para desarrollo y automatizacion tecnica</t>
        </is>
      </c>
      <c r="M11">
        <f>ROUND(AVERAGE(E11:K11),2)</f>
        <v/>
      </c>
      <c r="N11">
        <f>ROUND(E11*0.10+F11*0.15+G11*0.10+H11*0.25+I11*0.10+J11*0.20+K11*0.10,2)</f>
        <v/>
      </c>
      <c r="O11">
        <f>RANK(M11,$M$2:$M$13,0)</f>
        <v/>
      </c>
      <c r="P11">
        <f>ROUND(E11*0.20+F11*0.15+G11*0.10+H11*0.15+I11*0.15+J11*0.10+K11*0.15,2)</f>
        <v/>
      </c>
      <c r="Q11">
        <f>RANK(O11,$O$2:$O$13,0)</f>
        <v/>
      </c>
      <c r="R11">
        <f>ROUND(E11*0.10+F11*0.20+G11*0.15+H11*0.10+I11*0.05+J11*0.15+K11*0.25,2)</f>
        <v/>
      </c>
      <c r="S11">
        <f>RANK(Q11,$Q$2:$Q$13,0)</f>
        <v/>
      </c>
      <c r="T11">
        <f>ROUND(E11*0.08+F11*0.12+G11*0.08+H11*0.27+I11*0.10+J11*0.25+K11*0.10,2)</f>
        <v/>
      </c>
      <c r="U11">
        <f>RANK(S11,$S$2:$S$13,0)</f>
        <v/>
      </c>
      <c r="V11">
        <f>ROUND(E11*0.20+F11*0.18+G11*0.14+H11*0.10+I11*0.12+J11*0.06+K11*0.20,2)</f>
        <v/>
      </c>
      <c r="W11">
        <f>RANK(U11,$U$2:$U$13,0)</f>
        <v/>
      </c>
    </row>
    <row r="12">
      <c r="A12" t="inlineStr">
        <is>
          <t>Infraestructura</t>
        </is>
      </c>
      <c r="B12" t="inlineStr">
        <is>
          <t>AWS</t>
        </is>
      </c>
      <c r="C12" t="inlineStr">
        <is>
          <t>Amazon Bedrock</t>
        </is>
      </c>
      <c r="D12" t="inlineStr">
        <is>
          <t>Continuidad AWS y servicios gobernados</t>
        </is>
      </c>
      <c r="E12" t="inlineStr">
        <is>
          <t>7</t>
        </is>
      </c>
      <c r="F12" t="inlineStr">
        <is>
          <t>8</t>
        </is>
      </c>
      <c r="G12" t="inlineStr">
        <is>
          <t>8</t>
        </is>
      </c>
      <c r="H12" t="inlineStr">
        <is>
          <t>9</t>
        </is>
      </c>
      <c r="I12" t="inlineStr">
        <is>
          <t>7</t>
        </is>
      </c>
      <c r="J12" t="inlineStr">
        <is>
          <t>7</t>
        </is>
      </c>
      <c r="K12" t="inlineStr">
        <is>
          <t>8</t>
        </is>
      </c>
      <c r="L12" t="inlineStr">
        <is>
          <t>Fuerte como plano de continuidad y servicios gestionados</t>
        </is>
      </c>
      <c r="M12">
        <f>ROUND(AVERAGE(E12:K12),2)</f>
        <v/>
      </c>
      <c r="N12">
        <f>ROUND(E12*0.10+F12*0.15+G12*0.10+H12*0.25+I12*0.10+J12*0.20+K12*0.10,2)</f>
        <v/>
      </c>
      <c r="O12">
        <f>RANK(M12,$M$2:$M$13,0)</f>
        <v/>
      </c>
      <c r="P12">
        <f>ROUND(E12*0.20+F12*0.15+G12*0.10+H12*0.15+I12*0.15+J12*0.10+K12*0.15,2)</f>
        <v/>
      </c>
      <c r="Q12">
        <f>RANK(O12,$O$2:$O$13,0)</f>
        <v/>
      </c>
      <c r="R12">
        <f>ROUND(E12*0.10+F12*0.20+G12*0.15+H12*0.10+I12*0.05+J12*0.15+K12*0.25,2)</f>
        <v/>
      </c>
      <c r="S12">
        <f>RANK(Q12,$Q$2:$Q$13,0)</f>
        <v/>
      </c>
      <c r="T12">
        <f>ROUND(E12*0.08+F12*0.12+G12*0.08+H12*0.27+I12*0.10+J12*0.25+K12*0.10,2)</f>
        <v/>
      </c>
      <c r="U12">
        <f>RANK(S12,$S$2:$S$13,0)</f>
        <v/>
      </c>
      <c r="V12">
        <f>ROUND(E12*0.20+F12*0.18+G12*0.14+H12*0.10+I12*0.12+J12*0.06+K12*0.20,2)</f>
        <v/>
      </c>
      <c r="W12">
        <f>RANK(U12,$U$2:$U$13,0)</f>
        <v/>
      </c>
    </row>
    <row r="13">
      <c r="A13" t="inlineStr">
        <is>
          <t>ML OSS</t>
        </is>
      </c>
      <c r="B13" t="inlineStr">
        <is>
          <t>Open Source</t>
        </is>
      </c>
      <c r="C13" t="inlineStr">
        <is>
          <t>PyTorch + XGBoost + MLflow</t>
        </is>
      </c>
      <c r="D13" t="inlineStr">
        <is>
          <t>Prediccion de eventos y modelos propios</t>
        </is>
      </c>
      <c r="E13" t="inlineStr">
        <is>
          <t>6</t>
        </is>
      </c>
      <c r="F13" t="inlineStr">
        <is>
          <t>4</t>
        </is>
      </c>
      <c r="G13" t="inlineStr">
        <is>
          <t>3</t>
        </is>
      </c>
      <c r="H13" t="inlineStr">
        <is>
          <t>8</t>
        </is>
      </c>
      <c r="I13" t="inlineStr">
        <is>
          <t>10</t>
        </is>
      </c>
      <c r="J13" t="inlineStr">
        <is>
          <t>9</t>
        </is>
      </c>
      <c r="K13" t="inlineStr">
        <is>
          <t>9</t>
        </is>
      </c>
      <c r="L13" t="inlineStr">
        <is>
          <t>Stack correcto para prediccion minera real con datos internos</t>
        </is>
      </c>
      <c r="M13">
        <f>ROUND(AVERAGE(E13:K13),2)</f>
        <v/>
      </c>
      <c r="N13">
        <f>ROUND(E13*0.10+F13*0.15+G13*0.10+H13*0.25+I13*0.10+J13*0.20+K13*0.10,2)</f>
        <v/>
      </c>
      <c r="O13">
        <f>RANK(M13,$M$2:$M$13,0)</f>
        <v/>
      </c>
      <c r="P13">
        <f>ROUND(E13*0.20+F13*0.15+G13*0.10+H13*0.15+I13*0.15+J13*0.10+K13*0.15,2)</f>
        <v/>
      </c>
      <c r="Q13">
        <f>RANK(O13,$O$2:$O$13,0)</f>
        <v/>
      </c>
      <c r="R13">
        <f>ROUND(E13*0.10+F13*0.20+G13*0.15+H13*0.10+I13*0.05+J13*0.15+K13*0.25,2)</f>
        <v/>
      </c>
      <c r="S13">
        <f>RANK(Q13,$Q$2:$Q$13,0)</f>
        <v/>
      </c>
      <c r="T13">
        <f>ROUND(E13*0.08+F13*0.12+G13*0.08+H13*0.27+I13*0.10+J13*0.25+K13*0.10,2)</f>
        <v/>
      </c>
      <c r="U13">
        <f>RANK(S13,$S$2:$S$13,0)</f>
        <v/>
      </c>
      <c r="V13">
        <f>ROUND(E13*0.20+F13*0.18+G13*0.14+H13*0.10+I13*0.12+J13*0.06+K13*0.20,2)</f>
        <v/>
      </c>
      <c r="W13">
        <f>RANK(U13,$U$2:$U$13,0)</f>
        <v/>
      </c>
    </row>
  </sheetData>
  <conditionalFormatting sqref="E2:E13">
    <cfRule type="colorScale" priority="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F2:F13">
    <cfRule type="colorScale" priority="2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G2:G13">
    <cfRule type="colorScale" priority="3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H2:H13">
    <cfRule type="colorScale" priority="4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I2:I13">
    <cfRule type="colorScale" priority="5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J2:J13">
    <cfRule type="colorScale" priority="6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K2:K13">
    <cfRule type="colorScale" priority="7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L2:L13">
    <cfRule type="colorScale" priority="8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M2:M13">
    <cfRule type="colorScale" priority="9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N2:N13">
    <cfRule type="colorScale" priority="10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P2:P13">
    <cfRule type="colorScale" priority="11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R2:R13">
    <cfRule type="colorScale" priority="12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T2:T13">
    <cfRule type="colorScale" priority="13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conditionalFormatting sqref="V2:V13">
    <cfRule type="colorScale" priority="14">
      <colorScale>
        <cfvo type="num" val="1"/>
        <cfvo type="num" val="5"/>
        <cfvo type="num" val="1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30" customWidth="1" min="4" max="4"/>
  </cols>
  <sheetData>
    <row r="1">
      <c r="A1" s="1" t="inlineStr">
        <is>
          <t>Audiencia</t>
        </is>
      </c>
      <c r="B1" s="1" t="inlineStr">
        <is>
          <t>Criterio</t>
        </is>
      </c>
      <c r="C1" s="1" t="inlineStr">
        <is>
          <t>Peso</t>
        </is>
      </c>
      <c r="D1" s="1" t="inlineStr">
        <is>
          <t>Lectura ejecutiva</t>
        </is>
      </c>
    </row>
    <row r="2">
      <c r="A2" t="inlineStr">
        <is>
          <t>Directorio</t>
        </is>
      </c>
      <c r="B2" t="inlineStr">
        <is>
          <t>Coding</t>
        </is>
      </c>
      <c r="C2" t="inlineStr">
        <is>
          <t>10%</t>
        </is>
      </c>
      <c r="D2" t="inlineStr">
        <is>
          <t>Impacto en productividad de desarrollo y mantenimiento</t>
        </is>
      </c>
    </row>
    <row r="3">
      <c r="A3" t="inlineStr">
        <is>
          <t>Directorio</t>
        </is>
      </c>
      <c r="B3" t="inlineStr">
        <is>
          <t>DocumentAI</t>
        </is>
      </c>
      <c r="C3" t="inlineStr">
        <is>
          <t>15%</t>
        </is>
      </c>
      <c r="D3" t="inlineStr">
        <is>
          <t>Uso para OCR, RAG, redaccion y mejora documental</t>
        </is>
      </c>
    </row>
    <row r="4">
      <c r="A4" t="inlineStr">
        <is>
          <t>Directorio</t>
        </is>
      </c>
      <c r="B4" t="inlineStr">
        <is>
          <t>Multimodalidad</t>
        </is>
      </c>
      <c r="C4" t="inlineStr">
        <is>
          <t>10%</t>
        </is>
      </c>
      <c r="D4" t="inlineStr">
        <is>
          <t>Texto, imagen, audio, documentos y vision</t>
        </is>
      </c>
    </row>
    <row r="5">
      <c r="A5" t="inlineStr">
        <is>
          <t>Directorio</t>
        </is>
      </c>
      <c r="B5" t="inlineStr">
        <is>
          <t>Gobierno_Enterprise</t>
        </is>
      </c>
      <c r="C5" t="inlineStr">
        <is>
          <t>25%</t>
        </is>
      </c>
      <c r="D5" t="inlineStr">
        <is>
          <t>SSO, auditabilidad, seguridad y admin central</t>
        </is>
      </c>
    </row>
    <row r="6">
      <c r="A6" t="inlineStr">
        <is>
          <t>Directorio</t>
        </is>
      </c>
      <c r="B6" t="inlineStr">
        <is>
          <t>Portabilidad</t>
        </is>
      </c>
      <c r="C6" t="inlineStr">
        <is>
          <t>10%</t>
        </is>
      </c>
      <c r="D6" t="inlineStr">
        <is>
          <t>Capacidad hybrid, on-prem o multicloud</t>
        </is>
      </c>
    </row>
    <row r="7">
      <c r="A7" t="inlineStr">
        <is>
          <t>Directorio</t>
        </is>
      </c>
      <c r="B7" t="inlineStr">
        <is>
          <t>Costos</t>
        </is>
      </c>
      <c r="C7" t="inlineStr">
        <is>
          <t>20%</t>
        </is>
      </c>
      <c r="D7" t="inlineStr">
        <is>
          <t>TCO visible para fase inicial y escalamiento</t>
        </is>
      </c>
    </row>
    <row r="8">
      <c r="A8" t="inlineStr">
        <is>
          <t>Directorio</t>
        </is>
      </c>
      <c r="B8" t="inlineStr">
        <is>
          <t>Compatibilidad_Stack</t>
        </is>
      </c>
      <c r="C8" t="inlineStr">
        <is>
          <t>10%</t>
        </is>
      </c>
      <c r="D8" t="inlineStr">
        <is>
          <t>Ajuste con JavaScript, React, Python, Docker y AWS/VPS</t>
        </is>
      </c>
    </row>
    <row r="9">
      <c r="A9" s="2" t="inlineStr">
        <is>
          <t>Lectura Directorio</t>
        </is>
      </c>
      <c r="B9" s="2" t="inlineStr"/>
      <c r="C9" s="2" t="inlineStr"/>
      <c r="D9" s="2" t="inlineStr">
        <is>
          <t>El puntaje ponderado ayuda a priorizar el shortlist segun la audiencia decisora.</t>
        </is>
      </c>
    </row>
    <row r="10">
      <c r="A10" t="inlineStr">
        <is>
          <t>TI</t>
        </is>
      </c>
      <c r="B10" t="inlineStr">
        <is>
          <t>Coding</t>
        </is>
      </c>
      <c r="C10" t="inlineStr">
        <is>
          <t>20%</t>
        </is>
      </c>
      <c r="D10" t="inlineStr">
        <is>
          <t>Impacto en productividad de desarrollo y mantenimiento</t>
        </is>
      </c>
    </row>
    <row r="11">
      <c r="A11" t="inlineStr">
        <is>
          <t>TI</t>
        </is>
      </c>
      <c r="B11" t="inlineStr">
        <is>
          <t>DocumentAI</t>
        </is>
      </c>
      <c r="C11" t="inlineStr">
        <is>
          <t>15%</t>
        </is>
      </c>
      <c r="D11" t="inlineStr">
        <is>
          <t>Uso para OCR, RAG, redaccion y mejora documental</t>
        </is>
      </c>
    </row>
    <row r="12">
      <c r="A12" t="inlineStr">
        <is>
          <t>TI</t>
        </is>
      </c>
      <c r="B12" t="inlineStr">
        <is>
          <t>Multimodalidad</t>
        </is>
      </c>
      <c r="C12" t="inlineStr">
        <is>
          <t>10%</t>
        </is>
      </c>
      <c r="D12" t="inlineStr">
        <is>
          <t>Texto, imagen, audio, documentos y vision</t>
        </is>
      </c>
    </row>
    <row r="13">
      <c r="A13" t="inlineStr">
        <is>
          <t>TI</t>
        </is>
      </c>
      <c r="B13" t="inlineStr">
        <is>
          <t>Gobierno_Enterprise</t>
        </is>
      </c>
      <c r="C13" t="inlineStr">
        <is>
          <t>15%</t>
        </is>
      </c>
      <c r="D13" t="inlineStr">
        <is>
          <t>SSO, auditabilidad, seguridad y admin central</t>
        </is>
      </c>
    </row>
    <row r="14">
      <c r="A14" t="inlineStr">
        <is>
          <t>TI</t>
        </is>
      </c>
      <c r="B14" t="inlineStr">
        <is>
          <t>Portabilidad</t>
        </is>
      </c>
      <c r="C14" t="inlineStr">
        <is>
          <t>15%</t>
        </is>
      </c>
      <c r="D14" t="inlineStr">
        <is>
          <t>Capacidad hybrid, on-prem o multicloud</t>
        </is>
      </c>
    </row>
    <row r="15">
      <c r="A15" t="inlineStr">
        <is>
          <t>TI</t>
        </is>
      </c>
      <c r="B15" t="inlineStr">
        <is>
          <t>Costos</t>
        </is>
      </c>
      <c r="C15" t="inlineStr">
        <is>
          <t>10%</t>
        </is>
      </c>
      <c r="D15" t="inlineStr">
        <is>
          <t>TCO visible para fase inicial y escalamiento</t>
        </is>
      </c>
    </row>
    <row r="16">
      <c r="A16" t="inlineStr">
        <is>
          <t>TI</t>
        </is>
      </c>
      <c r="B16" t="inlineStr">
        <is>
          <t>Compatibilidad_Stack</t>
        </is>
      </c>
      <c r="C16" t="inlineStr">
        <is>
          <t>15%</t>
        </is>
      </c>
      <c r="D16" t="inlineStr">
        <is>
          <t>Ajuste con JavaScript, React, Python, Docker y AWS/VPS</t>
        </is>
      </c>
    </row>
    <row r="17">
      <c r="A17" s="2" t="inlineStr">
        <is>
          <t>Lectura TI</t>
        </is>
      </c>
      <c r="B17" s="2" t="inlineStr"/>
      <c r="C17" s="2" t="inlineStr"/>
      <c r="D17" s="2" t="inlineStr">
        <is>
          <t>El puntaje ponderado ayuda a priorizar el shortlist segun la audiencia decisora.</t>
        </is>
      </c>
    </row>
    <row r="18">
      <c r="A18" t="inlineStr">
        <is>
          <t>Operaciones</t>
        </is>
      </c>
      <c r="B18" t="inlineStr">
        <is>
          <t>Coding</t>
        </is>
      </c>
      <c r="C18" t="inlineStr">
        <is>
          <t>10%</t>
        </is>
      </c>
      <c r="D18" t="inlineStr">
        <is>
          <t>Impacto en productividad de desarrollo y mantenimiento</t>
        </is>
      </c>
    </row>
    <row r="19">
      <c r="A19" t="inlineStr">
        <is>
          <t>Operaciones</t>
        </is>
      </c>
      <c r="B19" t="inlineStr">
        <is>
          <t>DocumentAI</t>
        </is>
      </c>
      <c r="C19" t="inlineStr">
        <is>
          <t>20%</t>
        </is>
      </c>
      <c r="D19" t="inlineStr">
        <is>
          <t>Uso para OCR, RAG, redaccion y mejora documental</t>
        </is>
      </c>
    </row>
    <row r="20">
      <c r="A20" t="inlineStr">
        <is>
          <t>Operaciones</t>
        </is>
      </c>
      <c r="B20" t="inlineStr">
        <is>
          <t>Multimodalidad</t>
        </is>
      </c>
      <c r="C20" t="inlineStr">
        <is>
          <t>15%</t>
        </is>
      </c>
      <c r="D20" t="inlineStr">
        <is>
          <t>Texto, imagen, audio, documentos y vision</t>
        </is>
      </c>
    </row>
    <row r="21">
      <c r="A21" t="inlineStr">
        <is>
          <t>Operaciones</t>
        </is>
      </c>
      <c r="B21" t="inlineStr">
        <is>
          <t>Gobierno_Enterprise</t>
        </is>
      </c>
      <c r="C21" t="inlineStr">
        <is>
          <t>10%</t>
        </is>
      </c>
      <c r="D21" t="inlineStr">
        <is>
          <t>SSO, auditabilidad, seguridad y admin central</t>
        </is>
      </c>
    </row>
    <row r="22">
      <c r="A22" t="inlineStr">
        <is>
          <t>Operaciones</t>
        </is>
      </c>
      <c r="B22" t="inlineStr">
        <is>
          <t>Portabilidad</t>
        </is>
      </c>
      <c r="C22" t="inlineStr">
        <is>
          <t>5%</t>
        </is>
      </c>
      <c r="D22" t="inlineStr">
        <is>
          <t>Capacidad hybrid, on-prem o multicloud</t>
        </is>
      </c>
    </row>
    <row r="23">
      <c r="A23" t="inlineStr">
        <is>
          <t>Operaciones</t>
        </is>
      </c>
      <c r="B23" t="inlineStr">
        <is>
          <t>Costos</t>
        </is>
      </c>
      <c r="C23" t="inlineStr">
        <is>
          <t>15%</t>
        </is>
      </c>
      <c r="D23" t="inlineStr">
        <is>
          <t>TCO visible para fase inicial y escalamiento</t>
        </is>
      </c>
    </row>
    <row r="24">
      <c r="A24" t="inlineStr">
        <is>
          <t>Operaciones</t>
        </is>
      </c>
      <c r="B24" t="inlineStr">
        <is>
          <t>Compatibilidad_Stack</t>
        </is>
      </c>
      <c r="C24" t="inlineStr">
        <is>
          <t>25%</t>
        </is>
      </c>
      <c r="D24" t="inlineStr">
        <is>
          <t>Ajuste con JavaScript, React, Python, Docker y AWS/VPS</t>
        </is>
      </c>
    </row>
    <row r="25">
      <c r="A25" s="2" t="inlineStr">
        <is>
          <t>Lectura Operaciones</t>
        </is>
      </c>
      <c r="B25" s="2" t="inlineStr"/>
      <c r="C25" s="2" t="inlineStr"/>
      <c r="D25" s="2" t="inlineStr">
        <is>
          <t>El puntaje ponderado ayuda a priorizar el shortlist segun la audiencia decisora.</t>
        </is>
      </c>
    </row>
    <row r="26">
      <c r="A26" t="inlineStr">
        <is>
          <t>Conservador</t>
        </is>
      </c>
      <c r="B26" t="inlineStr">
        <is>
          <t>Coding</t>
        </is>
      </c>
      <c r="C26" t="inlineStr">
        <is>
          <t>8%</t>
        </is>
      </c>
      <c r="D26" t="inlineStr">
        <is>
          <t>Impacto en productividad de desarrollo y mantenimiento</t>
        </is>
      </c>
    </row>
    <row r="27">
      <c r="A27" t="inlineStr">
        <is>
          <t>Conservador</t>
        </is>
      </c>
      <c r="B27" t="inlineStr">
        <is>
          <t>DocumentAI</t>
        </is>
      </c>
      <c r="C27" t="inlineStr">
        <is>
          <t>12%</t>
        </is>
      </c>
      <c r="D27" t="inlineStr">
        <is>
          <t>Uso para OCR, RAG, redaccion y mejora documental</t>
        </is>
      </c>
    </row>
    <row r="28">
      <c r="A28" t="inlineStr">
        <is>
          <t>Conservador</t>
        </is>
      </c>
      <c r="B28" t="inlineStr">
        <is>
          <t>Multimodalidad</t>
        </is>
      </c>
      <c r="C28" t="inlineStr">
        <is>
          <t>8%</t>
        </is>
      </c>
      <c r="D28" t="inlineStr">
        <is>
          <t>Texto, imagen, audio, documentos y vision</t>
        </is>
      </c>
    </row>
    <row r="29">
      <c r="A29" t="inlineStr">
        <is>
          <t>Conservador</t>
        </is>
      </c>
      <c r="B29" t="inlineStr">
        <is>
          <t>Gobierno_Enterprise</t>
        </is>
      </c>
      <c r="C29" t="inlineStr">
        <is>
          <t>27%</t>
        </is>
      </c>
      <c r="D29" t="inlineStr">
        <is>
          <t>SSO, auditabilidad, seguridad y admin central</t>
        </is>
      </c>
    </row>
    <row r="30">
      <c r="A30" t="inlineStr">
        <is>
          <t>Conservador</t>
        </is>
      </c>
      <c r="B30" t="inlineStr">
        <is>
          <t>Portabilidad</t>
        </is>
      </c>
      <c r="C30" t="inlineStr">
        <is>
          <t>10%</t>
        </is>
      </c>
      <c r="D30" t="inlineStr">
        <is>
          <t>Capacidad hybrid, on-prem o multicloud</t>
        </is>
      </c>
    </row>
    <row r="31">
      <c r="A31" t="inlineStr">
        <is>
          <t>Conservador</t>
        </is>
      </c>
      <c r="B31" t="inlineStr">
        <is>
          <t>Costos</t>
        </is>
      </c>
      <c r="C31" t="inlineStr">
        <is>
          <t>25%</t>
        </is>
      </c>
      <c r="D31" t="inlineStr">
        <is>
          <t>TCO visible para fase inicial y escalamiento</t>
        </is>
      </c>
    </row>
    <row r="32">
      <c r="A32" t="inlineStr">
        <is>
          <t>Conservador</t>
        </is>
      </c>
      <c r="B32" t="inlineStr">
        <is>
          <t>Compatibilidad_Stack</t>
        </is>
      </c>
      <c r="C32" t="inlineStr">
        <is>
          <t>10%</t>
        </is>
      </c>
      <c r="D32" t="inlineStr">
        <is>
          <t>Ajuste con JavaScript, React, Python, Docker y AWS/VPS</t>
        </is>
      </c>
    </row>
    <row r="33">
      <c r="A33" s="2" t="inlineStr">
        <is>
          <t>Lectura Conservador</t>
        </is>
      </c>
      <c r="B33" s="2" t="inlineStr"/>
      <c r="C33" s="2" t="inlineStr"/>
      <c r="D33" s="2" t="inlineStr">
        <is>
          <t>Escenario conservador protege costo y gobierno; escenario agresivo prioriza aceleracion y amplitud funcional.</t>
        </is>
      </c>
    </row>
    <row r="34">
      <c r="A34" t="inlineStr">
        <is>
          <t>Agresivo</t>
        </is>
      </c>
      <c r="B34" t="inlineStr">
        <is>
          <t>Coding</t>
        </is>
      </c>
      <c r="C34" t="inlineStr">
        <is>
          <t>20%</t>
        </is>
      </c>
      <c r="D34" t="inlineStr">
        <is>
          <t>Impacto en productividad de desarrollo y mantenimiento</t>
        </is>
      </c>
    </row>
    <row r="35">
      <c r="A35" t="inlineStr">
        <is>
          <t>Agresivo</t>
        </is>
      </c>
      <c r="B35" t="inlineStr">
        <is>
          <t>DocumentAI</t>
        </is>
      </c>
      <c r="C35" t="inlineStr">
        <is>
          <t>18%</t>
        </is>
      </c>
      <c r="D35" t="inlineStr">
        <is>
          <t>Uso para OCR, RAG, redaccion y mejora documental</t>
        </is>
      </c>
    </row>
    <row r="36">
      <c r="A36" t="inlineStr">
        <is>
          <t>Agresivo</t>
        </is>
      </c>
      <c r="B36" t="inlineStr">
        <is>
          <t>Multimodalidad</t>
        </is>
      </c>
      <c r="C36" t="inlineStr">
        <is>
          <t>14%</t>
        </is>
      </c>
      <c r="D36" t="inlineStr">
        <is>
          <t>Texto, imagen, audio, documentos y vision</t>
        </is>
      </c>
    </row>
    <row r="37">
      <c r="A37" t="inlineStr">
        <is>
          <t>Agresivo</t>
        </is>
      </c>
      <c r="B37" t="inlineStr">
        <is>
          <t>Gobierno_Enterprise</t>
        </is>
      </c>
      <c r="C37" t="inlineStr">
        <is>
          <t>10%</t>
        </is>
      </c>
      <c r="D37" t="inlineStr">
        <is>
          <t>SSO, auditabilidad, seguridad y admin central</t>
        </is>
      </c>
    </row>
    <row r="38">
      <c r="A38" t="inlineStr">
        <is>
          <t>Agresivo</t>
        </is>
      </c>
      <c r="B38" t="inlineStr">
        <is>
          <t>Portabilidad</t>
        </is>
      </c>
      <c r="C38" t="inlineStr">
        <is>
          <t>12%</t>
        </is>
      </c>
      <c r="D38" t="inlineStr">
        <is>
          <t>Capacidad hybrid, on-prem o multicloud</t>
        </is>
      </c>
    </row>
    <row r="39">
      <c r="A39" t="inlineStr">
        <is>
          <t>Agresivo</t>
        </is>
      </c>
      <c r="B39" t="inlineStr">
        <is>
          <t>Costos</t>
        </is>
      </c>
      <c r="C39" t="inlineStr">
        <is>
          <t>6%</t>
        </is>
      </c>
      <c r="D39" t="inlineStr">
        <is>
          <t>TCO visible para fase inicial y escalamiento</t>
        </is>
      </c>
    </row>
    <row r="40">
      <c r="A40" t="inlineStr">
        <is>
          <t>Agresivo</t>
        </is>
      </c>
      <c r="B40" t="inlineStr">
        <is>
          <t>Compatibilidad_Stack</t>
        </is>
      </c>
      <c r="C40" t="inlineStr">
        <is>
          <t>20%</t>
        </is>
      </c>
      <c r="D40" t="inlineStr">
        <is>
          <t>Ajuste con JavaScript, React, Python, Docker y AWS/VPS</t>
        </is>
      </c>
    </row>
    <row r="41">
      <c r="A41" s="2" t="inlineStr">
        <is>
          <t>Lectura Agresivo</t>
        </is>
      </c>
      <c r="B41" s="2" t="inlineStr"/>
      <c r="C41" s="2" t="inlineStr"/>
      <c r="D41" s="2" t="inlineStr">
        <is>
          <t>Escenario conservador protege costo y gobierno; escenario agresivo prioriza aceleracion y amplitud funcional.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Audiencia</t>
        </is>
      </c>
      <c r="B1" s="1" t="inlineStr">
        <is>
          <t>Top 1</t>
        </is>
      </c>
      <c r="C1" s="1" t="inlineStr">
        <is>
          <t>Top 2</t>
        </is>
      </c>
      <c r="D1" s="1" t="inlineStr">
        <is>
          <t>Top 3</t>
        </is>
      </c>
      <c r="E1" s="1" t="inlineStr">
        <is>
          <t>Lectura</t>
        </is>
      </c>
    </row>
    <row r="2">
      <c r="A2" t="inlineStr">
        <is>
          <t>Directorio</t>
        </is>
      </c>
      <c r="B2" t="inlineStr">
        <is>
          <t>Claude Sonnet 4.6 / Gemini 2.5 Flash / Mistral Medium 3.1</t>
        </is>
      </c>
      <c r="C2" t="inlineStr">
        <is>
          <t>Azure OpenAI / GitHub Copilot</t>
        </is>
      </c>
      <c r="D2" t="inlineStr">
        <is>
          <t>Amazon Bedrock</t>
        </is>
      </c>
      <c r="E2" t="inlineStr">
        <is>
          <t>Prioriza gobierno, costo controlado y escalamiento seguro</t>
        </is>
      </c>
    </row>
    <row r="3">
      <c r="A3" t="inlineStr">
        <is>
          <t>TI</t>
        </is>
      </c>
      <c r="B3" t="inlineStr">
        <is>
          <t>Claude Sonnet 4.6 / GitHub Copilot / GPT-5.4</t>
        </is>
      </c>
      <c r="C3" t="inlineStr">
        <is>
          <t>Mistral Medium 3.1 / Windsurf Teams</t>
        </is>
      </c>
      <c r="D3" t="inlineStr">
        <is>
          <t>Azure OpenAI / Amazon Bedrock</t>
        </is>
      </c>
      <c r="E3" t="inlineStr">
        <is>
          <t>Prioriza desarrollo, integracion y portabilidad</t>
        </is>
      </c>
    </row>
    <row r="4">
      <c r="A4" t="inlineStr">
        <is>
          <t>Operaciones</t>
        </is>
      </c>
      <c r="B4" t="inlineStr">
        <is>
          <t>Gemini 2.5 Flash / Claude Sonnet 4.6 / GitHub Copilot</t>
        </is>
      </c>
      <c r="C4" t="inlineStr">
        <is>
          <t>Azure OpenAI / GPT-5.4</t>
        </is>
      </c>
      <c r="D4" t="inlineStr">
        <is>
          <t>PyTorch + XGBoost + MLflow</t>
        </is>
      </c>
      <c r="E4" t="inlineStr">
        <is>
          <t>Prioriza document AI, asistentes y ajuste al flujo operativo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Escenario</t>
        </is>
      </c>
      <c r="B1" s="1" t="inlineStr">
        <is>
          <t>Enfoque</t>
        </is>
      </c>
      <c r="C1" s="1" t="inlineStr">
        <is>
          <t>Top esperado</t>
        </is>
      </c>
      <c r="D1" s="1" t="inlineStr">
        <is>
          <t>Lectura ejecutiva</t>
        </is>
      </c>
    </row>
    <row r="2">
      <c r="A2" t="inlineStr">
        <is>
          <t>Conservador</t>
        </is>
      </c>
      <c r="B2" t="inlineStr">
        <is>
          <t>Control de costo, gobierno y riesgo</t>
        </is>
      </c>
      <c r="C2" t="inlineStr">
        <is>
          <t>GitHub Copilot / Azure OpenAI / Gemini 2.5 Flash / Amazon Bedrock</t>
        </is>
      </c>
      <c r="D2" t="inlineStr">
        <is>
          <t>Adecuado para arranque corporativo con comite de control y adopcion gradual</t>
        </is>
      </c>
    </row>
    <row r="3">
      <c r="A3" t="inlineStr">
        <is>
          <t>Agresivo</t>
        </is>
      </c>
      <c r="B3" t="inlineStr">
        <is>
          <t>Velocidad, amplitud funcional y productividad</t>
        </is>
      </c>
      <c r="C3" t="inlineStr">
        <is>
          <t>Claude Sonnet 4.6 / GPT-5.4 / Windsurf Teams / Mistral Medium 3.1</t>
        </is>
      </c>
      <c r="D3" t="inlineStr">
        <is>
          <t>Adecuado para acelerar construccion, experimentacion y ventaja operativa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6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  <col width="12" customWidth="1" min="10" max="10"/>
    <col width="30" customWidth="1" min="11" max="11"/>
  </cols>
  <sheetData>
    <row r="1">
      <c r="A1" s="1" t="inlineStr">
        <is>
          <t>Plataforma</t>
        </is>
      </c>
      <c r="B1" s="1" t="inlineStr">
        <is>
          <t>Proveedor</t>
        </is>
      </c>
      <c r="C1" s="1" t="inlineStr">
        <is>
          <t>Caso principal</t>
        </is>
      </c>
      <c r="D1" s="1" t="inlineStr">
        <is>
          <t>Puntaje Comite</t>
        </is>
      </c>
      <c r="E1" s="1" t="inlineStr">
        <is>
          <t>Coding</t>
        </is>
      </c>
      <c r="F1" s="1" t="inlineStr">
        <is>
          <t>DocumentAI</t>
        </is>
      </c>
      <c r="G1" s="1" t="inlineStr">
        <is>
          <t>Multimodalidad</t>
        </is>
      </c>
      <c r="H1" s="1" t="inlineStr">
        <is>
          <t>Gobierno</t>
        </is>
      </c>
      <c r="I1" s="1" t="inlineStr">
        <is>
          <t>Portabilidad</t>
        </is>
      </c>
      <c r="J1" s="1" t="inlineStr">
        <is>
          <t>Costos</t>
        </is>
      </c>
      <c r="K1" s="1" t="inlineStr">
        <is>
          <t>Lectura</t>
        </is>
      </c>
    </row>
    <row r="2">
      <c r="A2" t="inlineStr">
        <is>
          <t>Gemini 2.5 Flash</t>
        </is>
      </c>
      <c r="B2" t="inlineStr">
        <is>
          <t>Google</t>
        </is>
      </c>
      <c r="C2" t="inlineStr">
        <is>
          <t>Alto volumen multimodal y bajo costo</t>
        </is>
      </c>
      <c r="D2" s="3" t="n">
        <v>8.5</v>
      </c>
      <c r="E2" s="4" t="n">
        <v>8</v>
      </c>
      <c r="F2" s="4" t="n">
        <v>9</v>
      </c>
      <c r="G2" s="4" t="n">
        <v>10</v>
      </c>
      <c r="H2" s="4" t="n">
        <v>8</v>
      </c>
      <c r="I2" s="5" t="n">
        <v>6</v>
      </c>
      <c r="J2" s="4" t="n">
        <v>10</v>
      </c>
      <c r="K2" s="6" t="inlineStr">
        <is>
          <t>Verde ejecutivo</t>
        </is>
      </c>
    </row>
    <row r="3">
      <c r="A3" t="inlineStr">
        <is>
          <t>Azure OpenAI</t>
        </is>
      </c>
      <c r="B3" t="inlineStr">
        <is>
          <t>Microsoft</t>
        </is>
      </c>
      <c r="C3" t="inlineStr">
        <is>
          <t>Enterprise AI con residencia y gobierno</t>
        </is>
      </c>
      <c r="D3" s="3" t="n">
        <v>8.42</v>
      </c>
      <c r="E3" s="4" t="n">
        <v>9</v>
      </c>
      <c r="F3" s="4" t="n">
        <v>9</v>
      </c>
      <c r="G3" s="4" t="n">
        <v>9</v>
      </c>
      <c r="H3" s="4" t="n">
        <v>10</v>
      </c>
      <c r="I3" s="5" t="n">
        <v>6</v>
      </c>
      <c r="J3" s="5" t="n">
        <v>6</v>
      </c>
      <c r="K3" s="6" t="inlineStr">
        <is>
          <t>Verde ejecutivo</t>
        </is>
      </c>
    </row>
    <row r="4">
      <c r="A4" t="inlineStr">
        <is>
          <t>Gemini 2.5 Pro</t>
        </is>
      </c>
      <c r="B4" t="inlineStr">
        <is>
          <t>Google</t>
        </is>
      </c>
      <c r="C4" t="inlineStr">
        <is>
          <t>Analisis largo y razonamiento multimodal</t>
        </is>
      </c>
      <c r="D4" s="3" t="n">
        <v>8.369999999999999</v>
      </c>
      <c r="E4" s="4" t="n">
        <v>8</v>
      </c>
      <c r="F4" s="4" t="n">
        <v>10</v>
      </c>
      <c r="G4" s="4" t="n">
        <v>10</v>
      </c>
      <c r="H4" s="4" t="n">
        <v>8</v>
      </c>
      <c r="I4" s="5" t="n">
        <v>6</v>
      </c>
      <c r="J4" s="4" t="n">
        <v>8</v>
      </c>
      <c r="K4" s="6" t="inlineStr">
        <is>
          <t>Verde ejecutivo</t>
        </is>
      </c>
    </row>
    <row r="5">
      <c r="A5" t="inlineStr">
        <is>
          <t>Mistral Medium 3.1</t>
        </is>
      </c>
      <c r="B5" t="inlineStr">
        <is>
          <t>Mistral</t>
        </is>
      </c>
      <c r="C5" t="inlineStr">
        <is>
          <t>Portabilidad y despliegue hybrid</t>
        </is>
      </c>
      <c r="D5" s="3" t="n">
        <v>8.35</v>
      </c>
      <c r="E5" s="4" t="n">
        <v>8</v>
      </c>
      <c r="F5" s="4" t="n">
        <v>8</v>
      </c>
      <c r="G5" s="4" t="n">
        <v>8</v>
      </c>
      <c r="H5" s="4" t="n">
        <v>8</v>
      </c>
      <c r="I5" s="4" t="n">
        <v>10</v>
      </c>
      <c r="J5" s="4" t="n">
        <v>9</v>
      </c>
      <c r="K5" s="6" t="inlineStr">
        <is>
          <t>Verde ejecutivo</t>
        </is>
      </c>
    </row>
    <row r="6">
      <c r="A6" t="inlineStr">
        <is>
          <t>Claude Sonnet 4.6</t>
        </is>
      </c>
      <c r="B6" t="inlineStr">
        <is>
          <t>Anthropic</t>
        </is>
      </c>
      <c r="C6" t="inlineStr">
        <is>
          <t>Documentos complejos y repositorios</t>
        </is>
      </c>
      <c r="D6" s="3" t="n">
        <v>8.15</v>
      </c>
      <c r="E6" s="4" t="n">
        <v>10</v>
      </c>
      <c r="F6" s="4" t="n">
        <v>10</v>
      </c>
      <c r="G6" s="5" t="n">
        <v>7</v>
      </c>
      <c r="H6" s="4" t="n">
        <v>8</v>
      </c>
      <c r="I6" s="5" t="n">
        <v>6</v>
      </c>
      <c r="J6" s="5" t="n">
        <v>6</v>
      </c>
      <c r="K6" s="7" t="inlineStr">
        <is>
          <t>Amarillo controlado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t="inlineStr"/>
      <c r="B8" t="inlineStr"/>
      <c r="C8" t="inlineStr"/>
      <c r="D8" t="inlineStr">
        <is>
          <t>Top 5</t>
        </is>
      </c>
      <c r="E8" t="inlineStr"/>
      <c r="F8" t="inlineStr"/>
      <c r="G8" t="inlineStr"/>
      <c r="H8" t="inlineStr"/>
      <c r="I8" t="inlineStr"/>
      <c r="J8" t="inlineStr"/>
      <c r="K8" t="inlineStr">
        <is>
          <t>Shortlist resumido para comite con base en promedio de Directorio, TI y Operaciones.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30" customWidth="1" min="4" max="4"/>
  </cols>
  <sheetData>
    <row r="1">
      <c r="A1" s="1" t="inlineStr">
        <is>
          <t>Trimestre</t>
        </is>
      </c>
      <c r="B1" s="1" t="inlineStr">
        <is>
          <t>Min USD</t>
        </is>
      </c>
      <c r="C1" s="1" t="inlineStr">
        <is>
          <t>Max USD</t>
        </is>
      </c>
      <c r="D1" s="1" t="inlineStr">
        <is>
          <t>Escenario medio USD</t>
        </is>
      </c>
    </row>
    <row r="2">
      <c r="A2" t="inlineStr">
        <is>
          <t>T1</t>
        </is>
      </c>
      <c r="B2" t="n">
        <v>4210</v>
      </c>
      <c r="C2" t="n">
        <v>9350</v>
      </c>
      <c r="D2" t="n">
        <v>6780</v>
      </c>
    </row>
    <row r="3">
      <c r="A3" t="inlineStr">
        <is>
          <t>T2</t>
        </is>
      </c>
      <c r="B3" t="n">
        <v>9210</v>
      </c>
      <c r="C3" t="n">
        <v>20350</v>
      </c>
      <c r="D3" t="n">
        <v>14780</v>
      </c>
    </row>
    <row r="4">
      <c r="A4" t="inlineStr">
        <is>
          <t>T3</t>
        </is>
      </c>
      <c r="B4" t="n">
        <v>14210</v>
      </c>
      <c r="C4" t="n">
        <v>34350</v>
      </c>
      <c r="D4" t="n">
        <v>24280</v>
      </c>
    </row>
    <row r="5">
      <c r="A5" t="inlineStr">
        <is>
          <t>T4</t>
        </is>
      </c>
      <c r="B5" t="n">
        <v>16500</v>
      </c>
      <c r="C5" t="n">
        <v>39000</v>
      </c>
      <c r="D5" t="n">
        <v>27750</v>
      </c>
    </row>
    <row r="6">
      <c r="A6" s="2" t="inlineStr">
        <is>
          <t>Total anual</t>
        </is>
      </c>
      <c r="B6" s="2">
        <f>SUM(B2:B5)</f>
        <v/>
      </c>
      <c r="C6" s="2">
        <f>SUM(C2:C5)</f>
        <v/>
      </c>
      <c r="D6" s="2">
        <f>SUM(D2:D5)</f>
        <v/>
      </c>
    </row>
    <row r="7"/>
    <row r="8">
      <c r="A8" s="1" t="inlineStr">
        <is>
          <t>Escenario</t>
        </is>
      </c>
      <c r="B8" s="1" t="inlineStr">
        <is>
          <t>Monto anual</t>
        </is>
      </c>
      <c r="C8" s="1" t="inlineStr">
        <is>
          <t>Promedio mensual</t>
        </is>
      </c>
      <c r="D8" s="1" t="inlineStr">
        <is>
          <t>Lectura</t>
        </is>
      </c>
    </row>
    <row r="9">
      <c r="A9" t="inlineStr">
        <is>
          <t>Conservador</t>
        </is>
      </c>
      <c r="B9" t="n">
        <v>44130</v>
      </c>
      <c r="C9" t="n">
        <v>3677.5</v>
      </c>
      <c r="D9" t="inlineStr">
        <is>
          <t>Adopcion controlada, foco en copilotos y PoC</t>
        </is>
      </c>
    </row>
    <row r="10">
      <c r="A10" t="inlineStr">
        <is>
          <t>Medio</t>
        </is>
      </c>
      <c r="B10" t="n">
        <v>83000</v>
      </c>
      <c r="C10" t="n">
        <v>6916.67</v>
      </c>
      <c r="D10" t="inlineStr">
        <is>
          <t>Operacion estable con RAG, document AI y gateway</t>
        </is>
      </c>
    </row>
    <row r="11">
      <c r="A11" t="inlineStr">
        <is>
          <t>Expandido</t>
        </is>
      </c>
      <c r="B11" t="n">
        <v>103050</v>
      </c>
      <c r="C11" t="n">
        <v>8587.5</v>
      </c>
      <c r="D11" t="inlineStr">
        <is>
          <t>Escala corporativa con ML y mayor carga operativa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Decision</t>
        </is>
      </c>
      <c r="B1" s="1" t="inlineStr">
        <is>
          <t>Recomendacion</t>
        </is>
      </c>
    </row>
    <row r="2">
      <c r="A2" t="inlineStr">
        <is>
          <t>Base corporativa de copiloto</t>
        </is>
      </c>
      <c r="B2" t="inlineStr">
        <is>
          <t>GitHub Copilot</t>
        </is>
      </c>
    </row>
    <row r="3">
      <c r="A3" t="inlineStr">
        <is>
          <t>Capa senior de ingenieria</t>
        </is>
      </c>
      <c r="B3" t="inlineStr">
        <is>
          <t>Claude Code Team o Windsurf Teams</t>
        </is>
      </c>
    </row>
    <row r="4">
      <c r="A4" t="inlineStr">
        <is>
          <t>Modelo premium para documentos y razonamiento</t>
        </is>
      </c>
      <c r="B4" t="inlineStr">
        <is>
          <t>Claude Sonnet 4.6 o GPT-5.4</t>
        </is>
      </c>
    </row>
    <row r="5">
      <c r="A5" t="inlineStr">
        <is>
          <t>Modelo de alto volumen y bajo costo</t>
        </is>
      </c>
      <c r="B5" t="inlineStr">
        <is>
          <t>Gemini 2.5 Flash / Flash-Lite</t>
        </is>
      </c>
    </row>
    <row r="6">
      <c r="A6" t="inlineStr">
        <is>
          <t>Portabilidad y despliegue hybrid</t>
        </is>
      </c>
      <c r="B6" t="inlineStr">
        <is>
          <t>Mistral Medium 3.1 y Codestral</t>
        </is>
      </c>
    </row>
    <row r="7">
      <c r="A7" t="inlineStr">
        <is>
          <t>Continuidad e integracion AWS</t>
        </is>
      </c>
      <c r="B7" t="inlineStr">
        <is>
          <t>Amazon Bedrock</t>
        </is>
      </c>
    </row>
    <row r="8">
      <c r="A8" t="inlineStr">
        <is>
          <t>Prediccion minera</t>
        </is>
      </c>
      <c r="B8" t="inlineStr">
        <is>
          <t>PyTorch + XGBoost + MLflow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2026-05-16T02:37:16Z</dcterms:created>
  <dcterms:modified xmlns:dcterms="http://purl.org/dc/terms/" xmlns:xsi="http://www.w3.org/2001/XMLSchema-instance" xsi:type="dcterms:W3CDTF">2026-05-16T02:37:16Z</dcterms:modified>
</cp:coreProperties>
</file>